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arPanelMonitorControl_SPMonCtrl\SolarPanelMonitorControl_SPMonCtrl\prj.SPMonCtrl.Proteus\DC-DC_Boost_Converter\"/>
    </mc:Choice>
  </mc:AlternateContent>
  <xr:revisionPtr revIDLastSave="0" documentId="13_ncr:1_{055646A2-444A-476A-92A5-A50EDDB082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2" i="1"/>
</calcChain>
</file>

<file path=xl/sharedStrings.xml><?xml version="1.0" encoding="utf-8"?>
<sst xmlns="http://schemas.openxmlformats.org/spreadsheetml/2006/main" count="11" uniqueCount="11">
  <si>
    <t>Vpv(V)</t>
  </si>
  <si>
    <t>Ppv(W)</t>
  </si>
  <si>
    <t>Vout(V)</t>
  </si>
  <si>
    <t>Iout(A)</t>
  </si>
  <si>
    <t>Pout(W)</t>
  </si>
  <si>
    <t>D_val</t>
  </si>
  <si>
    <t>State</t>
  </si>
  <si>
    <t>MPP_D_val</t>
  </si>
  <si>
    <t>dt(s)</t>
  </si>
  <si>
    <t>η(%)</t>
  </si>
  <si>
    <t>Ipv(A)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</si>
</sst>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2" applyNumberFormat="0" applyFont="0" applyAlignment="0" applyProtection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3" fillId="2" borderId="1" xfId="1"/>
    <xf numFmtId="0" fontId="3" fillId="2" borderId="1" xfId="1" applyAlignment="1">
      <alignment horizontal="center" vertical="top"/>
    </xf>
    <xf numFmtId="0" fontId="1" fillId="3" borderId="2" xfId="2" applyFont="1"/>
    <xf numFmtId="0" fontId="0" fillId="3" borderId="2" xfId="2" applyFont="1"/>
  </cellXfs>
  <cellStyles count="3">
    <cellStyle name="Check Cell" xfId="1" builtinId="23"/>
    <cellStyle name="Normal" xfId="0" builtinId="0"/>
    <cellStyle name="Note" xfId="2" builtinId="10"/>
  </cellStyles>
  <dxfs count="6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  <numFmt numFmtId="2" formatCode="0.00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Pin/Pout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Sheet1!$A$2:$A$125</c:f>
              <c:numCache>
                <c:formatCode>General</c:formatCode>
                <c:ptCount val="1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</c:numCache>
            </c:numRef>
          </c:xVal>
          <c:yVal>
            <c:numRef>
              <c:f>Sheet1!$D$2:$D$125</c:f>
              <c:numCache>
                <c:formatCode>General</c:formatCode>
                <c:ptCount val="124"/>
                <c:pt idx="0">
                  <c:v>52.94</c:v>
                </c:pt>
                <c:pt idx="1">
                  <c:v>98.74</c:v>
                </c:pt>
                <c:pt idx="2">
                  <c:v>112.14</c:v>
                </c:pt>
                <c:pt idx="3">
                  <c:v>116.59</c:v>
                </c:pt>
                <c:pt idx="4">
                  <c:v>120.29</c:v>
                </c:pt>
                <c:pt idx="5">
                  <c:v>124.16</c:v>
                </c:pt>
                <c:pt idx="6">
                  <c:v>127.68</c:v>
                </c:pt>
                <c:pt idx="7">
                  <c:v>133.13</c:v>
                </c:pt>
                <c:pt idx="8">
                  <c:v>139.29</c:v>
                </c:pt>
                <c:pt idx="9">
                  <c:v>144.69</c:v>
                </c:pt>
                <c:pt idx="10">
                  <c:v>147.33000000000001</c:v>
                </c:pt>
                <c:pt idx="11">
                  <c:v>150.82</c:v>
                </c:pt>
                <c:pt idx="12">
                  <c:v>155.88999999999999</c:v>
                </c:pt>
                <c:pt idx="13">
                  <c:v>161.44999999999999</c:v>
                </c:pt>
                <c:pt idx="14">
                  <c:v>162.97999999999999</c:v>
                </c:pt>
                <c:pt idx="15">
                  <c:v>163</c:v>
                </c:pt>
                <c:pt idx="16">
                  <c:v>159.66</c:v>
                </c:pt>
                <c:pt idx="17">
                  <c:v>161.01</c:v>
                </c:pt>
                <c:pt idx="18">
                  <c:v>161.07</c:v>
                </c:pt>
                <c:pt idx="19">
                  <c:v>161.49</c:v>
                </c:pt>
                <c:pt idx="20">
                  <c:v>157.97</c:v>
                </c:pt>
                <c:pt idx="21">
                  <c:v>157.88</c:v>
                </c:pt>
                <c:pt idx="22">
                  <c:v>157.32</c:v>
                </c:pt>
                <c:pt idx="23">
                  <c:v>162.61000000000001</c:v>
                </c:pt>
                <c:pt idx="24">
                  <c:v>161.96</c:v>
                </c:pt>
                <c:pt idx="25">
                  <c:v>161.56</c:v>
                </c:pt>
                <c:pt idx="26">
                  <c:v>162.13999999999999</c:v>
                </c:pt>
                <c:pt idx="27">
                  <c:v>162.25</c:v>
                </c:pt>
                <c:pt idx="28">
                  <c:v>160.16</c:v>
                </c:pt>
                <c:pt idx="29">
                  <c:v>154.53</c:v>
                </c:pt>
                <c:pt idx="30">
                  <c:v>155.03</c:v>
                </c:pt>
                <c:pt idx="31">
                  <c:v>153.25</c:v>
                </c:pt>
                <c:pt idx="32">
                  <c:v>153.51</c:v>
                </c:pt>
                <c:pt idx="33">
                  <c:v>152.19999999999999</c:v>
                </c:pt>
                <c:pt idx="34">
                  <c:v>150.52000000000001</c:v>
                </c:pt>
                <c:pt idx="35">
                  <c:v>145.97999999999999</c:v>
                </c:pt>
                <c:pt idx="36">
                  <c:v>144.51</c:v>
                </c:pt>
                <c:pt idx="37">
                  <c:v>143.4</c:v>
                </c:pt>
                <c:pt idx="38">
                  <c:v>147.08000000000001</c:v>
                </c:pt>
                <c:pt idx="39">
                  <c:v>149.52000000000001</c:v>
                </c:pt>
                <c:pt idx="40">
                  <c:v>154.01</c:v>
                </c:pt>
                <c:pt idx="41">
                  <c:v>156.34</c:v>
                </c:pt>
                <c:pt idx="42">
                  <c:v>161.5</c:v>
                </c:pt>
                <c:pt idx="43">
                  <c:v>161.78</c:v>
                </c:pt>
                <c:pt idx="44">
                  <c:v>161.79</c:v>
                </c:pt>
                <c:pt idx="45">
                  <c:v>158.65</c:v>
                </c:pt>
                <c:pt idx="46">
                  <c:v>157.99</c:v>
                </c:pt>
                <c:pt idx="47">
                  <c:v>157.46</c:v>
                </c:pt>
                <c:pt idx="48">
                  <c:v>158.5</c:v>
                </c:pt>
                <c:pt idx="49">
                  <c:v>160.53</c:v>
                </c:pt>
                <c:pt idx="50">
                  <c:v>160.34</c:v>
                </c:pt>
                <c:pt idx="51">
                  <c:v>161.84</c:v>
                </c:pt>
                <c:pt idx="52">
                  <c:v>158.54</c:v>
                </c:pt>
                <c:pt idx="53">
                  <c:v>155.44999999999999</c:v>
                </c:pt>
                <c:pt idx="54">
                  <c:v>154.55000000000001</c:v>
                </c:pt>
                <c:pt idx="55">
                  <c:v>153.26</c:v>
                </c:pt>
                <c:pt idx="56">
                  <c:v>157.21</c:v>
                </c:pt>
                <c:pt idx="57">
                  <c:v>158.56</c:v>
                </c:pt>
                <c:pt idx="58">
                  <c:v>161.05000000000001</c:v>
                </c:pt>
                <c:pt idx="59">
                  <c:v>163.38</c:v>
                </c:pt>
                <c:pt idx="60">
                  <c:v>161.16999999999999</c:v>
                </c:pt>
                <c:pt idx="61">
                  <c:v>159.07</c:v>
                </c:pt>
                <c:pt idx="62">
                  <c:v>156.75</c:v>
                </c:pt>
                <c:pt idx="63">
                  <c:v>156.57</c:v>
                </c:pt>
                <c:pt idx="64">
                  <c:v>157.96</c:v>
                </c:pt>
                <c:pt idx="65">
                  <c:v>158.25</c:v>
                </c:pt>
                <c:pt idx="66">
                  <c:v>156.74</c:v>
                </c:pt>
                <c:pt idx="67">
                  <c:v>155.43</c:v>
                </c:pt>
                <c:pt idx="68">
                  <c:v>156.16999999999999</c:v>
                </c:pt>
                <c:pt idx="69">
                  <c:v>157.37</c:v>
                </c:pt>
                <c:pt idx="70">
                  <c:v>158.69999999999999</c:v>
                </c:pt>
                <c:pt idx="71">
                  <c:v>157.53</c:v>
                </c:pt>
                <c:pt idx="72">
                  <c:v>153.27000000000001</c:v>
                </c:pt>
                <c:pt idx="73">
                  <c:v>150.4</c:v>
                </c:pt>
                <c:pt idx="74">
                  <c:v>149.63999999999999</c:v>
                </c:pt>
                <c:pt idx="75">
                  <c:v>152.33000000000001</c:v>
                </c:pt>
                <c:pt idx="76">
                  <c:v>156.81</c:v>
                </c:pt>
                <c:pt idx="77">
                  <c:v>159.72999999999999</c:v>
                </c:pt>
                <c:pt idx="78">
                  <c:v>162.88999999999999</c:v>
                </c:pt>
                <c:pt idx="79">
                  <c:v>164.48</c:v>
                </c:pt>
                <c:pt idx="80">
                  <c:v>163.9</c:v>
                </c:pt>
                <c:pt idx="81">
                  <c:v>159.88</c:v>
                </c:pt>
                <c:pt idx="82">
                  <c:v>158.82</c:v>
                </c:pt>
                <c:pt idx="83">
                  <c:v>157.53</c:v>
                </c:pt>
                <c:pt idx="84">
                  <c:v>158.65</c:v>
                </c:pt>
                <c:pt idx="85">
                  <c:v>160.38999999999999</c:v>
                </c:pt>
                <c:pt idx="86">
                  <c:v>160.44</c:v>
                </c:pt>
                <c:pt idx="87">
                  <c:v>158.69999999999999</c:v>
                </c:pt>
                <c:pt idx="88">
                  <c:v>156.05000000000001</c:v>
                </c:pt>
                <c:pt idx="89">
                  <c:v>155.44999999999999</c:v>
                </c:pt>
                <c:pt idx="90">
                  <c:v>157.78</c:v>
                </c:pt>
                <c:pt idx="91">
                  <c:v>160.22</c:v>
                </c:pt>
                <c:pt idx="92">
                  <c:v>158.13</c:v>
                </c:pt>
                <c:pt idx="93">
                  <c:v>157.91999999999999</c:v>
                </c:pt>
                <c:pt idx="94">
                  <c:v>156.13999999999999</c:v>
                </c:pt>
                <c:pt idx="95">
                  <c:v>158.69999999999999</c:v>
                </c:pt>
                <c:pt idx="96">
                  <c:v>158.16999999999999</c:v>
                </c:pt>
                <c:pt idx="97">
                  <c:v>156.88</c:v>
                </c:pt>
                <c:pt idx="98">
                  <c:v>157.59</c:v>
                </c:pt>
                <c:pt idx="99">
                  <c:v>158.08000000000001</c:v>
                </c:pt>
                <c:pt idx="100">
                  <c:v>158.63999999999999</c:v>
                </c:pt>
                <c:pt idx="101">
                  <c:v>156.53</c:v>
                </c:pt>
                <c:pt idx="102">
                  <c:v>154.69</c:v>
                </c:pt>
                <c:pt idx="103">
                  <c:v>158.18</c:v>
                </c:pt>
                <c:pt idx="104">
                  <c:v>159.77000000000001</c:v>
                </c:pt>
                <c:pt idx="105">
                  <c:v>163.99</c:v>
                </c:pt>
                <c:pt idx="106">
                  <c:v>164.06</c:v>
                </c:pt>
                <c:pt idx="107">
                  <c:v>160.21</c:v>
                </c:pt>
                <c:pt idx="108">
                  <c:v>154.31</c:v>
                </c:pt>
                <c:pt idx="109">
                  <c:v>155.51</c:v>
                </c:pt>
                <c:pt idx="110">
                  <c:v>157.63</c:v>
                </c:pt>
                <c:pt idx="111">
                  <c:v>161.21</c:v>
                </c:pt>
                <c:pt idx="112">
                  <c:v>158.94999999999999</c:v>
                </c:pt>
                <c:pt idx="113">
                  <c:v>157.56</c:v>
                </c:pt>
                <c:pt idx="114">
                  <c:v>157.04</c:v>
                </c:pt>
                <c:pt idx="115">
                  <c:v>160.11000000000001</c:v>
                </c:pt>
                <c:pt idx="116">
                  <c:v>162.06</c:v>
                </c:pt>
                <c:pt idx="117">
                  <c:v>159.86000000000001</c:v>
                </c:pt>
                <c:pt idx="118">
                  <c:v>157.94999999999999</c:v>
                </c:pt>
                <c:pt idx="119">
                  <c:v>156.65</c:v>
                </c:pt>
                <c:pt idx="120">
                  <c:v>156.61000000000001</c:v>
                </c:pt>
                <c:pt idx="121">
                  <c:v>157.27000000000001</c:v>
                </c:pt>
                <c:pt idx="122">
                  <c:v>160.01</c:v>
                </c:pt>
                <c:pt idx="123">
                  <c:v>161.36000000000001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C-474E-BD58-AE266A50ECB0}"/>
            </c:ext>
          </c:extLst>
        </c:ser>
        <c:ser>
          <c:idx val="1"/>
          <c:order val="1"/>
          <c:tx>
            <c:v>Pout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Sheet1!$A$2:$A$125</c:f>
              <c:numCache>
                <c:formatCode>General</c:formatCode>
                <c:ptCount val="1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</c:numCache>
            </c:numRef>
          </c:xVal>
          <c:yVal>
            <c:numRef>
              <c:f>Sheet1!$G$2:$G$125</c:f>
              <c:numCache>
                <c:formatCode>General</c:formatCode>
                <c:ptCount val="124"/>
                <c:pt idx="0">
                  <c:v>53.61</c:v>
                </c:pt>
                <c:pt idx="1">
                  <c:v>97.04</c:v>
                </c:pt>
                <c:pt idx="2">
                  <c:v>109.43</c:v>
                </c:pt>
                <c:pt idx="3">
                  <c:v>111.57</c:v>
                </c:pt>
                <c:pt idx="4">
                  <c:v>114.87</c:v>
                </c:pt>
                <c:pt idx="5">
                  <c:v>117.42</c:v>
                </c:pt>
                <c:pt idx="6">
                  <c:v>118.44</c:v>
                </c:pt>
                <c:pt idx="7">
                  <c:v>120.13</c:v>
                </c:pt>
                <c:pt idx="8">
                  <c:v>121.61</c:v>
                </c:pt>
                <c:pt idx="9">
                  <c:v>123.4</c:v>
                </c:pt>
                <c:pt idx="10">
                  <c:v>124.35</c:v>
                </c:pt>
                <c:pt idx="11">
                  <c:v>125.3</c:v>
                </c:pt>
                <c:pt idx="12">
                  <c:v>126.25</c:v>
                </c:pt>
                <c:pt idx="13">
                  <c:v>127.09</c:v>
                </c:pt>
                <c:pt idx="14">
                  <c:v>127.62</c:v>
                </c:pt>
                <c:pt idx="15">
                  <c:v>127.62</c:v>
                </c:pt>
                <c:pt idx="16">
                  <c:v>127.3</c:v>
                </c:pt>
                <c:pt idx="17">
                  <c:v>127.3</c:v>
                </c:pt>
                <c:pt idx="18">
                  <c:v>127.3</c:v>
                </c:pt>
                <c:pt idx="19">
                  <c:v>127.41</c:v>
                </c:pt>
                <c:pt idx="20">
                  <c:v>126.99</c:v>
                </c:pt>
                <c:pt idx="21">
                  <c:v>126.78</c:v>
                </c:pt>
                <c:pt idx="22">
                  <c:v>126.88</c:v>
                </c:pt>
                <c:pt idx="23">
                  <c:v>127.41</c:v>
                </c:pt>
                <c:pt idx="24">
                  <c:v>127.2</c:v>
                </c:pt>
                <c:pt idx="25">
                  <c:v>127.3</c:v>
                </c:pt>
                <c:pt idx="26">
                  <c:v>127.3</c:v>
                </c:pt>
                <c:pt idx="27">
                  <c:v>127.3</c:v>
                </c:pt>
                <c:pt idx="28">
                  <c:v>126.99</c:v>
                </c:pt>
                <c:pt idx="29">
                  <c:v>125.83</c:v>
                </c:pt>
                <c:pt idx="30">
                  <c:v>125.83</c:v>
                </c:pt>
                <c:pt idx="31">
                  <c:v>126.04</c:v>
                </c:pt>
                <c:pt idx="32">
                  <c:v>126.57</c:v>
                </c:pt>
                <c:pt idx="33">
                  <c:v>126.46</c:v>
                </c:pt>
                <c:pt idx="34">
                  <c:v>125.93</c:v>
                </c:pt>
                <c:pt idx="35">
                  <c:v>124.56</c:v>
                </c:pt>
                <c:pt idx="36">
                  <c:v>123.93</c:v>
                </c:pt>
                <c:pt idx="37">
                  <c:v>123.93</c:v>
                </c:pt>
                <c:pt idx="38">
                  <c:v>125.09</c:v>
                </c:pt>
                <c:pt idx="39">
                  <c:v>126.04</c:v>
                </c:pt>
                <c:pt idx="40">
                  <c:v>126.88</c:v>
                </c:pt>
                <c:pt idx="41">
                  <c:v>127.2</c:v>
                </c:pt>
                <c:pt idx="42">
                  <c:v>127.51</c:v>
                </c:pt>
                <c:pt idx="43">
                  <c:v>127.62</c:v>
                </c:pt>
                <c:pt idx="44">
                  <c:v>127.3</c:v>
                </c:pt>
                <c:pt idx="45">
                  <c:v>126.78</c:v>
                </c:pt>
                <c:pt idx="46">
                  <c:v>126.78</c:v>
                </c:pt>
                <c:pt idx="47">
                  <c:v>126.57</c:v>
                </c:pt>
                <c:pt idx="48">
                  <c:v>126.99</c:v>
                </c:pt>
                <c:pt idx="49">
                  <c:v>127.09</c:v>
                </c:pt>
                <c:pt idx="50">
                  <c:v>127.3</c:v>
                </c:pt>
                <c:pt idx="51">
                  <c:v>127.51</c:v>
                </c:pt>
                <c:pt idx="52">
                  <c:v>126.99</c:v>
                </c:pt>
                <c:pt idx="53">
                  <c:v>126.14</c:v>
                </c:pt>
                <c:pt idx="54">
                  <c:v>125.83</c:v>
                </c:pt>
                <c:pt idx="55">
                  <c:v>126.14</c:v>
                </c:pt>
                <c:pt idx="56">
                  <c:v>126.99</c:v>
                </c:pt>
                <c:pt idx="57">
                  <c:v>127.51</c:v>
                </c:pt>
                <c:pt idx="58">
                  <c:v>127.62</c:v>
                </c:pt>
                <c:pt idx="59">
                  <c:v>127.62</c:v>
                </c:pt>
                <c:pt idx="60">
                  <c:v>127.3</c:v>
                </c:pt>
                <c:pt idx="61">
                  <c:v>126.88</c:v>
                </c:pt>
                <c:pt idx="62">
                  <c:v>126.67</c:v>
                </c:pt>
                <c:pt idx="63">
                  <c:v>126.78</c:v>
                </c:pt>
                <c:pt idx="64">
                  <c:v>127.09</c:v>
                </c:pt>
                <c:pt idx="65">
                  <c:v>127.41</c:v>
                </c:pt>
                <c:pt idx="66">
                  <c:v>126.99</c:v>
                </c:pt>
                <c:pt idx="67">
                  <c:v>126.67</c:v>
                </c:pt>
                <c:pt idx="68">
                  <c:v>126.78</c:v>
                </c:pt>
                <c:pt idx="69">
                  <c:v>126.99</c:v>
                </c:pt>
                <c:pt idx="70">
                  <c:v>126.99</c:v>
                </c:pt>
                <c:pt idx="71">
                  <c:v>126.35</c:v>
                </c:pt>
                <c:pt idx="72">
                  <c:v>125.51</c:v>
                </c:pt>
                <c:pt idx="73">
                  <c:v>125.09</c:v>
                </c:pt>
                <c:pt idx="74">
                  <c:v>125.19</c:v>
                </c:pt>
                <c:pt idx="75">
                  <c:v>125.83</c:v>
                </c:pt>
                <c:pt idx="76">
                  <c:v>126.88</c:v>
                </c:pt>
                <c:pt idx="77">
                  <c:v>127.3</c:v>
                </c:pt>
                <c:pt idx="78">
                  <c:v>127.62</c:v>
                </c:pt>
                <c:pt idx="79">
                  <c:v>127.62</c:v>
                </c:pt>
                <c:pt idx="80">
                  <c:v>127.51</c:v>
                </c:pt>
                <c:pt idx="81">
                  <c:v>126.99</c:v>
                </c:pt>
                <c:pt idx="82">
                  <c:v>126.88</c:v>
                </c:pt>
                <c:pt idx="83">
                  <c:v>126.99</c:v>
                </c:pt>
                <c:pt idx="84">
                  <c:v>127.41</c:v>
                </c:pt>
                <c:pt idx="85">
                  <c:v>127.62</c:v>
                </c:pt>
                <c:pt idx="86">
                  <c:v>127.62</c:v>
                </c:pt>
                <c:pt idx="87">
                  <c:v>127.2</c:v>
                </c:pt>
                <c:pt idx="88">
                  <c:v>126.99</c:v>
                </c:pt>
                <c:pt idx="89">
                  <c:v>126.99</c:v>
                </c:pt>
                <c:pt idx="90">
                  <c:v>127.3</c:v>
                </c:pt>
                <c:pt idx="91">
                  <c:v>127.51</c:v>
                </c:pt>
                <c:pt idx="92">
                  <c:v>126.88</c:v>
                </c:pt>
                <c:pt idx="93">
                  <c:v>126.78</c:v>
                </c:pt>
                <c:pt idx="94">
                  <c:v>126.78</c:v>
                </c:pt>
                <c:pt idx="95">
                  <c:v>127.41</c:v>
                </c:pt>
                <c:pt idx="96">
                  <c:v>127.62</c:v>
                </c:pt>
                <c:pt idx="97">
                  <c:v>127.3</c:v>
                </c:pt>
                <c:pt idx="98">
                  <c:v>127.3</c:v>
                </c:pt>
                <c:pt idx="99">
                  <c:v>127.3</c:v>
                </c:pt>
                <c:pt idx="100">
                  <c:v>127.2</c:v>
                </c:pt>
                <c:pt idx="101">
                  <c:v>126.78</c:v>
                </c:pt>
                <c:pt idx="102">
                  <c:v>126.67</c:v>
                </c:pt>
                <c:pt idx="103">
                  <c:v>126.99</c:v>
                </c:pt>
                <c:pt idx="104">
                  <c:v>127.2</c:v>
                </c:pt>
                <c:pt idx="105">
                  <c:v>127.62</c:v>
                </c:pt>
                <c:pt idx="106">
                  <c:v>127.62</c:v>
                </c:pt>
                <c:pt idx="107">
                  <c:v>127.41</c:v>
                </c:pt>
                <c:pt idx="108">
                  <c:v>126.67</c:v>
                </c:pt>
                <c:pt idx="109">
                  <c:v>126.46</c:v>
                </c:pt>
                <c:pt idx="110">
                  <c:v>126.67</c:v>
                </c:pt>
                <c:pt idx="111">
                  <c:v>127.3</c:v>
                </c:pt>
                <c:pt idx="112">
                  <c:v>127.3</c:v>
                </c:pt>
                <c:pt idx="113">
                  <c:v>126.99</c:v>
                </c:pt>
                <c:pt idx="114">
                  <c:v>126.99</c:v>
                </c:pt>
                <c:pt idx="115">
                  <c:v>127.2</c:v>
                </c:pt>
                <c:pt idx="116">
                  <c:v>127.62</c:v>
                </c:pt>
                <c:pt idx="117">
                  <c:v>127.41</c:v>
                </c:pt>
                <c:pt idx="118">
                  <c:v>126.78</c:v>
                </c:pt>
                <c:pt idx="119">
                  <c:v>126.46</c:v>
                </c:pt>
                <c:pt idx="120">
                  <c:v>126.57</c:v>
                </c:pt>
                <c:pt idx="121">
                  <c:v>127.09</c:v>
                </c:pt>
                <c:pt idx="122">
                  <c:v>127.51</c:v>
                </c:pt>
                <c:pt idx="123">
                  <c:v>127.62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C-474E-BD58-AE266A50E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06400"/>
        <c:axId val="21504960"/>
      </c:scatterChart>
      <c:valAx>
        <c:axId val="2150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4960"/>
        <c:crosses val="autoZero"/>
        <c:crossBetween val="midCat"/>
      </c:valAx>
      <c:valAx>
        <c:axId val="2150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Sheet1!$A$2:$A$125</c:f>
              <c:numCache>
                <c:formatCode>General</c:formatCode>
                <c:ptCount val="1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</c:numCache>
            </c:numRef>
          </c:xVal>
          <c:yVal>
            <c:numRef>
              <c:f>Sheet1!$K$2:$K$125</c:f>
              <c:numCache>
                <c:formatCode>0.00</c:formatCode>
                <c:ptCount val="124"/>
                <c:pt idx="0">
                  <c:v>101.26558367963734</c:v>
                </c:pt>
                <c:pt idx="1">
                  <c:v>98.278306663965992</c:v>
                </c:pt>
                <c:pt idx="2">
                  <c:v>97.583377920456584</c:v>
                </c:pt>
                <c:pt idx="3">
                  <c:v>95.694313405952471</c:v>
                </c:pt>
                <c:pt idx="4">
                  <c:v>95.494222296117712</c:v>
                </c:pt>
                <c:pt idx="5">
                  <c:v>94.571520618556704</c:v>
                </c:pt>
                <c:pt idx="6">
                  <c:v>92.763157894736835</c:v>
                </c:pt>
                <c:pt idx="7">
                  <c:v>90.235108540524294</c:v>
                </c:pt>
                <c:pt idx="8">
                  <c:v>87.307057218752249</c:v>
                </c:pt>
                <c:pt idx="9">
                  <c:v>85.285783398990958</c:v>
                </c:pt>
                <c:pt idx="10">
                  <c:v>84.402362044390131</c:v>
                </c:pt>
                <c:pt idx="11">
                  <c:v>83.079167219201693</c:v>
                </c:pt>
                <c:pt idx="12">
                  <c:v>80.986593110526655</c:v>
                </c:pt>
                <c:pt idx="13">
                  <c:v>78.717869309383715</c:v>
                </c:pt>
                <c:pt idx="14">
                  <c:v>78.304086390968223</c:v>
                </c:pt>
                <c:pt idx="15">
                  <c:v>78.294478527607367</c:v>
                </c:pt>
                <c:pt idx="16">
                  <c:v>79.731930351997988</c:v>
                </c:pt>
                <c:pt idx="17">
                  <c:v>79.063412210421717</c:v>
                </c:pt>
                <c:pt idx="18">
                  <c:v>79.033960389892599</c:v>
                </c:pt>
                <c:pt idx="19">
                  <c:v>78.896526100687353</c:v>
                </c:pt>
                <c:pt idx="20">
                  <c:v>80.388681395201615</c:v>
                </c:pt>
                <c:pt idx="21">
                  <c:v>80.301494806181921</c:v>
                </c:pt>
                <c:pt idx="22">
                  <c:v>80.650902618865999</c:v>
                </c:pt>
                <c:pt idx="23">
                  <c:v>78.353114814587045</c:v>
                </c:pt>
                <c:pt idx="24">
                  <c:v>78.5379105952087</c:v>
                </c:pt>
                <c:pt idx="25">
                  <c:v>78.794256003961365</c:v>
                </c:pt>
                <c:pt idx="26">
                  <c:v>78.512396694214885</c:v>
                </c:pt>
                <c:pt idx="27">
                  <c:v>78.45916795069337</c:v>
                </c:pt>
                <c:pt idx="28">
                  <c:v>79.289460539460549</c:v>
                </c:pt>
                <c:pt idx="29">
                  <c:v>81.427554520157898</c:v>
                </c:pt>
                <c:pt idx="30">
                  <c:v>81.164935818873758</c:v>
                </c:pt>
                <c:pt idx="31">
                  <c:v>82.244698205546499</c:v>
                </c:pt>
                <c:pt idx="32">
                  <c:v>82.450654680476845</c:v>
                </c:pt>
                <c:pt idx="33">
                  <c:v>83.088042049934302</c:v>
                </c:pt>
                <c:pt idx="34">
                  <c:v>83.663300558065373</c:v>
                </c:pt>
                <c:pt idx="35">
                  <c:v>85.326757090012336</c:v>
                </c:pt>
                <c:pt idx="36">
                  <c:v>85.758771019306636</c:v>
                </c:pt>
                <c:pt idx="37">
                  <c:v>86.422594142259413</c:v>
                </c:pt>
                <c:pt idx="38">
                  <c:v>85.048952950775075</c:v>
                </c:pt>
                <c:pt idx="39">
                  <c:v>84.296415195291601</c:v>
                </c:pt>
                <c:pt idx="40">
                  <c:v>82.384260762288164</c:v>
                </c:pt>
                <c:pt idx="41">
                  <c:v>81.361135985672249</c:v>
                </c:pt>
                <c:pt idx="42">
                  <c:v>78.953560371517028</c:v>
                </c:pt>
                <c:pt idx="43">
                  <c:v>78.884905427123257</c:v>
                </c:pt>
                <c:pt idx="44">
                  <c:v>78.682242413004516</c:v>
                </c:pt>
                <c:pt idx="45">
                  <c:v>79.911755436495426</c:v>
                </c:pt>
                <c:pt idx="46">
                  <c:v>80.245585163617946</c:v>
                </c:pt>
                <c:pt idx="47">
                  <c:v>80.382319319192163</c:v>
                </c:pt>
                <c:pt idx="48">
                  <c:v>80.119873817034687</c:v>
                </c:pt>
                <c:pt idx="49">
                  <c:v>79.169002678627052</c:v>
                </c:pt>
                <c:pt idx="50">
                  <c:v>79.393788200074837</c:v>
                </c:pt>
                <c:pt idx="51">
                  <c:v>78.787691547207118</c:v>
                </c:pt>
                <c:pt idx="52">
                  <c:v>80.099659391951562</c:v>
                </c:pt>
                <c:pt idx="53">
                  <c:v>81.145062721132206</c:v>
                </c:pt>
                <c:pt idx="54">
                  <c:v>81.4170171465545</c:v>
                </c:pt>
                <c:pt idx="55">
                  <c:v>82.304580451520295</c:v>
                </c:pt>
                <c:pt idx="56">
                  <c:v>80.77730424273264</c:v>
                </c:pt>
                <c:pt idx="57">
                  <c:v>80.417507568113024</c:v>
                </c:pt>
                <c:pt idx="58">
                  <c:v>79.242471282210488</c:v>
                </c:pt>
                <c:pt idx="59">
                  <c:v>78.112376055820789</c:v>
                </c:pt>
                <c:pt idx="60">
                  <c:v>78.984922752373279</c:v>
                </c:pt>
                <c:pt idx="61">
                  <c:v>79.763626076570063</c:v>
                </c:pt>
                <c:pt idx="62">
                  <c:v>80.810207336523135</c:v>
                </c:pt>
                <c:pt idx="63">
                  <c:v>80.973366545315201</c:v>
                </c:pt>
                <c:pt idx="64">
                  <c:v>80.457077741200294</c:v>
                </c:pt>
                <c:pt idx="65">
                  <c:v>80.511848341232223</c:v>
                </c:pt>
                <c:pt idx="66">
                  <c:v>81.019522776572657</c:v>
                </c:pt>
                <c:pt idx="67">
                  <c:v>81.496493598404427</c:v>
                </c:pt>
                <c:pt idx="68">
                  <c:v>81.180764551450352</c:v>
                </c:pt>
                <c:pt idx="69">
                  <c:v>80.695176971468513</c:v>
                </c:pt>
                <c:pt idx="70">
                  <c:v>80.018903591682417</c:v>
                </c:pt>
                <c:pt idx="71">
                  <c:v>80.206944708944334</c:v>
                </c:pt>
                <c:pt idx="72">
                  <c:v>81.888171201148296</c:v>
                </c:pt>
                <c:pt idx="73">
                  <c:v>83.171542553191486</c:v>
                </c:pt>
                <c:pt idx="74">
                  <c:v>83.660785886126703</c:v>
                </c:pt>
                <c:pt idx="75">
                  <c:v>82.603558064727892</c:v>
                </c:pt>
                <c:pt idx="76">
                  <c:v>80.913207065875895</c:v>
                </c:pt>
                <c:pt idx="77">
                  <c:v>79.696988668377884</c:v>
                </c:pt>
                <c:pt idx="78">
                  <c:v>78.347350973049302</c:v>
                </c:pt>
                <c:pt idx="79">
                  <c:v>77.589980544747092</c:v>
                </c:pt>
                <c:pt idx="80">
                  <c:v>77.797437461866991</c:v>
                </c:pt>
                <c:pt idx="81">
                  <c:v>79.4283212409307</c:v>
                </c:pt>
                <c:pt idx="82">
                  <c:v>79.889182722579022</c:v>
                </c:pt>
                <c:pt idx="83">
                  <c:v>80.613216530184729</c:v>
                </c:pt>
                <c:pt idx="84">
                  <c:v>80.308855972265988</c:v>
                </c:pt>
                <c:pt idx="85">
                  <c:v>79.568551655340116</c:v>
                </c:pt>
                <c:pt idx="86">
                  <c:v>79.543754674644731</c:v>
                </c:pt>
                <c:pt idx="87">
                  <c:v>80.151228733459362</c:v>
                </c:pt>
                <c:pt idx="88">
                  <c:v>81.37776353732778</c:v>
                </c:pt>
                <c:pt idx="89">
                  <c:v>81.691862335156003</c:v>
                </c:pt>
                <c:pt idx="90">
                  <c:v>80.681962225884135</c:v>
                </c:pt>
                <c:pt idx="91">
                  <c:v>79.584321557857947</c:v>
                </c:pt>
                <c:pt idx="92">
                  <c:v>80.237779042559922</c:v>
                </c:pt>
                <c:pt idx="93">
                  <c:v>80.281155015197584</c:v>
                </c:pt>
                <c:pt idx="94">
                  <c:v>81.196362239016267</c:v>
                </c:pt>
                <c:pt idx="95">
                  <c:v>80.283553875236308</c:v>
                </c:pt>
                <c:pt idx="96">
                  <c:v>80.685338559777463</c:v>
                </c:pt>
                <c:pt idx="97">
                  <c:v>81.144824069352367</c:v>
                </c:pt>
                <c:pt idx="98">
                  <c:v>80.779237261247545</c:v>
                </c:pt>
                <c:pt idx="99">
                  <c:v>80.528846153846146</c:v>
                </c:pt>
                <c:pt idx="100">
                  <c:v>80.181543116490175</c:v>
                </c:pt>
                <c:pt idx="101">
                  <c:v>80.994058646904747</c:v>
                </c:pt>
                <c:pt idx="102">
                  <c:v>81.886353351865026</c:v>
                </c:pt>
                <c:pt idx="103">
                  <c:v>80.281957263876592</c:v>
                </c:pt>
                <c:pt idx="104">
                  <c:v>79.614445765788318</c:v>
                </c:pt>
                <c:pt idx="105">
                  <c:v>77.821818403561196</c:v>
                </c:pt>
                <c:pt idx="106">
                  <c:v>77.788613921735944</c:v>
                </c:pt>
                <c:pt idx="107">
                  <c:v>79.526870981836325</c:v>
                </c:pt>
                <c:pt idx="108">
                  <c:v>82.088004665932218</c:v>
                </c:pt>
                <c:pt idx="109">
                  <c:v>81.319529290720865</c:v>
                </c:pt>
                <c:pt idx="110">
                  <c:v>80.35906870519571</c:v>
                </c:pt>
                <c:pt idx="111">
                  <c:v>78.965324731716393</c:v>
                </c:pt>
                <c:pt idx="112">
                  <c:v>80.088078011953442</c:v>
                </c:pt>
                <c:pt idx="113">
                  <c:v>80.597867479055594</c:v>
                </c:pt>
                <c:pt idx="114">
                  <c:v>80.864747834946513</c:v>
                </c:pt>
                <c:pt idx="115">
                  <c:v>79.445381300356004</c:v>
                </c:pt>
                <c:pt idx="116">
                  <c:v>78.74861162532396</c:v>
                </c:pt>
                <c:pt idx="117">
                  <c:v>79.70098836481921</c:v>
                </c:pt>
                <c:pt idx="118">
                  <c:v>80.2659069325736</c:v>
                </c:pt>
                <c:pt idx="119">
                  <c:v>80.727736993297157</c:v>
                </c:pt>
                <c:pt idx="120">
                  <c:v>80.818593959517258</c:v>
                </c:pt>
                <c:pt idx="121">
                  <c:v>80.810071850956959</c:v>
                </c:pt>
                <c:pt idx="122">
                  <c:v>79.688769451909252</c:v>
                </c:pt>
                <c:pt idx="123">
                  <c:v>79.090233019335642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69-4F0C-AD72-C4202F53B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594080"/>
        <c:axId val="1936592640"/>
      </c:scatterChart>
      <c:valAx>
        <c:axId val="193659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92640"/>
        <c:crosses val="autoZero"/>
        <c:crossBetween val="midCat"/>
      </c:valAx>
      <c:valAx>
        <c:axId val="193659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59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571499</xdr:colOff>
      <xdr:row>5</xdr:row>
      <xdr:rowOff>38100</xdr:rowOff>
    </xdr:from>
    <xdr:to>
      <xdr:col>25</xdr:col>
      <xdr:colOff>523875</xdr:colOff>
      <xdr:row>27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C1010-FA8C-24C3-D6BC-B688A2A5C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56</xdr:row>
      <xdr:rowOff>147637</xdr:rowOff>
    </xdr:from>
    <xdr:to>
      <xdr:col>19</xdr:col>
      <xdr:colOff>533400</xdr:colOff>
      <xdr:row>71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426CD2-566F-6C35-365F-EAF8ACC87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30D31-E371-4ED9-A1A2-FAE58F76B11A}" name="Table1" displayName="Table1" ref="A1:K125" totalsRowShown="0" headerRowDxfId="5" headerRowCellStyle="Check Cell">
  <autoFilter ref="A1:K125" xr:uid="{34430D31-E371-4ED9-A1A2-FAE58F76B11A}"/>
  <tableColumns count="11">
    <tableColumn id="1" xr3:uid="{3926FB50-B5EC-4E98-8D85-3A7074326F88}" name="dt(s)" dataCellStyle="Note"/>
    <tableColumn id="2" xr3:uid="{19A549AD-12F2-492D-8E0B-4CAA14F03B54}" name="Vpv(V)"/>
    <tableColumn id="12" xr3:uid="{08D5BFA0-4BED-47DA-A457-AA6B2730C715}" name="Ipv(A)" dataDxfId="0">
      <calculatedColumnFormula>Table1[[#This Row],[Ppv(W)]]/Table1[[#This Row],[Vpv(V)]]</calculatedColumnFormula>
    </tableColumn>
    <tableColumn id="3" xr3:uid="{2317A50F-4645-44CB-8F65-75DDBA23EC81}" name="Ppv(W)"/>
    <tableColumn id="4" xr3:uid="{CC84428D-1609-4A54-AF1F-CC95645D714C}" name="Vout(V)"/>
    <tableColumn id="5" xr3:uid="{25D8F81F-B393-4852-BD9B-312DCCD5DD66}" name="Iout(A)"/>
    <tableColumn id="6" xr3:uid="{45BECA58-5C45-4434-AEEB-2BCF0772860E}" name="Pout(W)"/>
    <tableColumn id="7" xr3:uid="{C3FFA9E7-BB58-4BF0-A440-57FFD484449C}" name="D_val" dataDxfId="3"/>
    <tableColumn id="8" xr3:uid="{72C30492-5862-4E73-9C93-F72C08E212D7}" name="State" dataDxfId="2"/>
    <tableColumn id="9" xr3:uid="{633322B1-1BB0-4918-82AA-C297F3BC0411}" name="MPP_D_val"/>
    <tableColumn id="10" xr3:uid="{77144A27-2AAF-4554-A84E-26AA258677D3}" name="η(%)" dataDxfId="4">
      <calculatedColumnFormula>(G2/D2)*100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topLeftCell="A102" workbookViewId="0">
      <selection activeCell="P122" sqref="P122"/>
    </sheetView>
  </sheetViews>
  <sheetFormatPr defaultRowHeight="15" x14ac:dyDescent="0.25"/>
  <cols>
    <col min="2" max="2" width="9.28515625" customWidth="1"/>
    <col min="3" max="3" width="8.7109375" customWidth="1"/>
    <col min="4" max="4" width="10.140625" customWidth="1"/>
    <col min="5" max="5" width="9.42578125" customWidth="1"/>
    <col min="6" max="6" width="10.7109375" customWidth="1"/>
    <col min="7" max="8" width="10.5703125" customWidth="1"/>
    <col min="9" max="9" width="15.42578125" customWidth="1"/>
    <col min="10" max="10" width="10.5703125" customWidth="1"/>
  </cols>
  <sheetData>
    <row r="1" spans="1:11" ht="16.5" thickTop="1" thickBot="1" x14ac:dyDescent="0.3">
      <c r="A1" s="4" t="s">
        <v>8</v>
      </c>
      <c r="B1" s="5" t="s">
        <v>0</v>
      </c>
      <c r="C1" s="5" t="s">
        <v>10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4" t="s">
        <v>9</v>
      </c>
    </row>
    <row r="2" spans="1:11" ht="15.75" thickTop="1" x14ac:dyDescent="0.25">
      <c r="A2" s="6">
        <v>1</v>
      </c>
      <c r="B2">
        <v>9.4</v>
      </c>
      <c r="C2" s="2">
        <f>Table1[[#This Row],[Ppv(W)]]/Table1[[#This Row],[Vpv(V)]]</f>
        <v>5.6319148936170205</v>
      </c>
      <c r="D2">
        <v>52.94</v>
      </c>
      <c r="E2">
        <v>19.23</v>
      </c>
      <c r="F2">
        <v>1.39</v>
      </c>
      <c r="G2">
        <v>53.61</v>
      </c>
      <c r="H2" s="1">
        <v>41.38</v>
      </c>
      <c r="I2" s="1">
        <v>3</v>
      </c>
      <c r="J2">
        <v>0</v>
      </c>
      <c r="K2" s="3">
        <f>(G2/D2)*100</f>
        <v>101.26558367963734</v>
      </c>
    </row>
    <row r="3" spans="1:11" x14ac:dyDescent="0.25">
      <c r="A3" s="6">
        <v>2</v>
      </c>
      <c r="B3">
        <v>16.809999999999999</v>
      </c>
      <c r="C3" s="2">
        <f>Table1[[#This Row],[Ppv(W)]]/Table1[[#This Row],[Vpv(V)]]</f>
        <v>5.8738845925044618</v>
      </c>
      <c r="D3">
        <v>98.74</v>
      </c>
      <c r="E3">
        <v>34.76</v>
      </c>
      <c r="F3">
        <v>2.5099999999999998</v>
      </c>
      <c r="G3">
        <v>97.04</v>
      </c>
      <c r="H3" s="1">
        <v>42.95</v>
      </c>
      <c r="I3" s="1">
        <v>3</v>
      </c>
      <c r="J3">
        <v>0</v>
      </c>
      <c r="K3" s="3">
        <f t="shared" ref="K3:K66" si="0">(G3/D3)*100</f>
        <v>98.278306663965992</v>
      </c>
    </row>
    <row r="4" spans="1:11" x14ac:dyDescent="0.25">
      <c r="A4" s="6">
        <v>3</v>
      </c>
      <c r="B4">
        <v>18.57</v>
      </c>
      <c r="C4" s="2">
        <f>Table1[[#This Row],[Ppv(W)]]/Table1[[#This Row],[Vpv(V)]]</f>
        <v>6.0387722132471726</v>
      </c>
      <c r="D4">
        <v>112.14</v>
      </c>
      <c r="E4">
        <v>38.89</v>
      </c>
      <c r="F4">
        <v>2.81</v>
      </c>
      <c r="G4">
        <v>109.43</v>
      </c>
      <c r="H4" s="1">
        <v>44.51</v>
      </c>
      <c r="I4" s="1">
        <v>3</v>
      </c>
      <c r="J4">
        <v>0</v>
      </c>
      <c r="K4" s="3">
        <f t="shared" si="0"/>
        <v>97.583377920456584</v>
      </c>
    </row>
    <row r="5" spans="1:11" x14ac:dyDescent="0.25">
      <c r="A5" s="6">
        <v>4</v>
      </c>
      <c r="B5">
        <v>18.510000000000002</v>
      </c>
      <c r="C5" s="2">
        <f>Table1[[#This Row],[Ppv(W)]]/Table1[[#This Row],[Vpv(V)]]</f>
        <v>6.2987574284170718</v>
      </c>
      <c r="D5">
        <v>116.59</v>
      </c>
      <c r="E5">
        <v>39.28</v>
      </c>
      <c r="F5">
        <v>2.84</v>
      </c>
      <c r="G5">
        <v>111.57</v>
      </c>
      <c r="H5" s="1">
        <v>46.08</v>
      </c>
      <c r="I5" s="1">
        <v>1</v>
      </c>
      <c r="J5">
        <v>0</v>
      </c>
      <c r="K5" s="3">
        <f t="shared" si="0"/>
        <v>95.694313405952471</v>
      </c>
    </row>
    <row r="6" spans="1:11" x14ac:dyDescent="0.25">
      <c r="A6" s="6">
        <v>5</v>
      </c>
      <c r="B6">
        <v>18.420000000000002</v>
      </c>
      <c r="C6" s="2">
        <f>Table1[[#This Row],[Ppv(W)]]/Table1[[#This Row],[Vpv(V)]]</f>
        <v>6.5304017372421281</v>
      </c>
      <c r="D6">
        <v>120.29</v>
      </c>
      <c r="E6">
        <v>39.74</v>
      </c>
      <c r="F6">
        <v>2.89</v>
      </c>
      <c r="G6">
        <v>114.87</v>
      </c>
      <c r="H6" s="1">
        <v>47.65</v>
      </c>
      <c r="I6" s="1">
        <v>1</v>
      </c>
      <c r="J6">
        <v>0</v>
      </c>
      <c r="K6" s="3">
        <f t="shared" si="0"/>
        <v>95.494222296117712</v>
      </c>
    </row>
    <row r="7" spans="1:11" x14ac:dyDescent="0.25">
      <c r="A7" s="6">
        <v>6</v>
      </c>
      <c r="B7">
        <v>18.29</v>
      </c>
      <c r="C7" s="2">
        <f>Table1[[#This Row],[Ppv(W)]]/Table1[[#This Row],[Vpv(V)]]</f>
        <v>6.7884089666484417</v>
      </c>
      <c r="D7">
        <v>124.16</v>
      </c>
      <c r="E7">
        <v>39.93</v>
      </c>
      <c r="F7">
        <v>2.94</v>
      </c>
      <c r="G7">
        <v>117.42</v>
      </c>
      <c r="H7" s="1">
        <v>49.22</v>
      </c>
      <c r="I7" s="1">
        <v>1</v>
      </c>
      <c r="J7">
        <v>0</v>
      </c>
      <c r="K7" s="3">
        <f t="shared" si="0"/>
        <v>94.571520618556704</v>
      </c>
    </row>
    <row r="8" spans="1:11" x14ac:dyDescent="0.25">
      <c r="A8" s="6">
        <v>7</v>
      </c>
      <c r="B8">
        <v>18.16</v>
      </c>
      <c r="C8" s="2">
        <f>Table1[[#This Row],[Ppv(W)]]/Table1[[#This Row],[Vpv(V)]]</f>
        <v>7.0308370044052868</v>
      </c>
      <c r="D8">
        <v>127.68</v>
      </c>
      <c r="E8">
        <v>39.96</v>
      </c>
      <c r="F8">
        <v>2.96</v>
      </c>
      <c r="G8">
        <v>118.44</v>
      </c>
      <c r="H8" s="1">
        <v>50.78</v>
      </c>
      <c r="I8" s="1">
        <v>1</v>
      </c>
      <c r="J8">
        <v>0</v>
      </c>
      <c r="K8" s="3">
        <f t="shared" si="0"/>
        <v>92.763157894736835</v>
      </c>
    </row>
    <row r="9" spans="1:11" x14ac:dyDescent="0.25">
      <c r="A9" s="6">
        <v>8</v>
      </c>
      <c r="B9">
        <v>18.059999999999999</v>
      </c>
      <c r="C9" s="2">
        <f>Table1[[#This Row],[Ppv(W)]]/Table1[[#This Row],[Vpv(V)]]</f>
        <v>7.3715393133997784</v>
      </c>
      <c r="D9">
        <v>133.13</v>
      </c>
      <c r="E9">
        <v>39.96</v>
      </c>
      <c r="F9">
        <v>3.01</v>
      </c>
      <c r="G9">
        <v>120.13</v>
      </c>
      <c r="H9" s="1">
        <v>52.35</v>
      </c>
      <c r="I9" s="1">
        <v>1</v>
      </c>
      <c r="J9">
        <v>0</v>
      </c>
      <c r="K9" s="3">
        <f t="shared" si="0"/>
        <v>90.235108540524294</v>
      </c>
    </row>
    <row r="10" spans="1:11" x14ac:dyDescent="0.25">
      <c r="A10" s="6">
        <v>9</v>
      </c>
      <c r="B10">
        <v>17.96</v>
      </c>
      <c r="C10" s="2">
        <f>Table1[[#This Row],[Ppv(W)]]/Table1[[#This Row],[Vpv(V)]]</f>
        <v>7.7555679287305113</v>
      </c>
      <c r="D10">
        <v>139.29</v>
      </c>
      <c r="E10">
        <v>39.96</v>
      </c>
      <c r="F10">
        <v>3.04</v>
      </c>
      <c r="G10">
        <v>121.61</v>
      </c>
      <c r="H10" s="1">
        <v>53.92</v>
      </c>
      <c r="I10" s="1">
        <v>1</v>
      </c>
      <c r="J10">
        <v>0</v>
      </c>
      <c r="K10" s="3">
        <f t="shared" si="0"/>
        <v>87.307057218752249</v>
      </c>
    </row>
    <row r="11" spans="1:11" x14ac:dyDescent="0.25">
      <c r="A11" s="6">
        <v>10</v>
      </c>
      <c r="B11">
        <v>17.8</v>
      </c>
      <c r="C11" s="2">
        <f>Table1[[#This Row],[Ppv(W)]]/Table1[[#This Row],[Vpv(V)]]</f>
        <v>8.1286516853932582</v>
      </c>
      <c r="D11">
        <v>144.69</v>
      </c>
      <c r="E11">
        <v>39.96</v>
      </c>
      <c r="F11">
        <v>3.09</v>
      </c>
      <c r="G11">
        <v>123.4</v>
      </c>
      <c r="H11" s="1">
        <v>55.49</v>
      </c>
      <c r="I11" s="1">
        <v>1</v>
      </c>
      <c r="J11">
        <v>0</v>
      </c>
      <c r="K11" s="3">
        <f t="shared" si="0"/>
        <v>85.285783398990958</v>
      </c>
    </row>
    <row r="12" spans="1:11" x14ac:dyDescent="0.25">
      <c r="A12" s="6">
        <v>11</v>
      </c>
      <c r="B12">
        <v>17.63</v>
      </c>
      <c r="C12" s="2">
        <f>Table1[[#This Row],[Ppv(W)]]/Table1[[#This Row],[Vpv(V)]]</f>
        <v>8.3567782189449815</v>
      </c>
      <c r="D12">
        <v>147.33000000000001</v>
      </c>
      <c r="E12">
        <v>39.96</v>
      </c>
      <c r="F12">
        <v>3.11</v>
      </c>
      <c r="G12">
        <v>124.35</v>
      </c>
      <c r="H12" s="1">
        <v>57.05</v>
      </c>
      <c r="I12" s="1">
        <v>1</v>
      </c>
      <c r="J12">
        <v>0</v>
      </c>
      <c r="K12" s="3">
        <f t="shared" si="0"/>
        <v>84.402362044390131</v>
      </c>
    </row>
    <row r="13" spans="1:11" x14ac:dyDescent="0.25">
      <c r="A13" s="6">
        <v>12</v>
      </c>
      <c r="B13">
        <v>17.48</v>
      </c>
      <c r="C13" s="2">
        <f>Table1[[#This Row],[Ppv(W)]]/Table1[[#This Row],[Vpv(V)]]</f>
        <v>8.6281464530892436</v>
      </c>
      <c r="D13">
        <v>150.82</v>
      </c>
      <c r="E13">
        <v>39.96</v>
      </c>
      <c r="F13">
        <v>3.14</v>
      </c>
      <c r="G13">
        <v>125.3</v>
      </c>
      <c r="H13" s="1">
        <v>58.62</v>
      </c>
      <c r="I13" s="1">
        <v>1</v>
      </c>
      <c r="J13">
        <v>0</v>
      </c>
      <c r="K13" s="3">
        <f t="shared" si="0"/>
        <v>83.079167219201693</v>
      </c>
    </row>
    <row r="14" spans="1:11" x14ac:dyDescent="0.25">
      <c r="A14" s="6">
        <v>13</v>
      </c>
      <c r="B14">
        <v>17.41</v>
      </c>
      <c r="C14" s="2">
        <f>Table1[[#This Row],[Ppv(W)]]/Table1[[#This Row],[Vpv(V)]]</f>
        <v>8.9540493968983341</v>
      </c>
      <c r="D14">
        <v>155.88999999999999</v>
      </c>
      <c r="E14">
        <v>39.96</v>
      </c>
      <c r="F14">
        <v>3.16</v>
      </c>
      <c r="G14">
        <v>126.25</v>
      </c>
      <c r="H14" s="1">
        <v>59.87</v>
      </c>
      <c r="I14" s="1">
        <v>1</v>
      </c>
      <c r="J14">
        <v>0</v>
      </c>
      <c r="K14" s="3">
        <f t="shared" si="0"/>
        <v>80.986593110526655</v>
      </c>
    </row>
    <row r="15" spans="1:11" x14ac:dyDescent="0.25">
      <c r="A15" s="6">
        <v>14</v>
      </c>
      <c r="B15">
        <v>17.36</v>
      </c>
      <c r="C15" s="2">
        <f>Table1[[#This Row],[Ppv(W)]]/Table1[[#This Row],[Vpv(V)]]</f>
        <v>9.3001152073732722</v>
      </c>
      <c r="D15">
        <v>161.44999999999999</v>
      </c>
      <c r="E15">
        <v>39.96</v>
      </c>
      <c r="F15">
        <v>3.18</v>
      </c>
      <c r="G15">
        <v>127.09</v>
      </c>
      <c r="H15" s="1">
        <v>59.87</v>
      </c>
      <c r="I15" s="1">
        <v>1</v>
      </c>
      <c r="J15">
        <v>0</v>
      </c>
      <c r="K15" s="3">
        <f t="shared" si="0"/>
        <v>78.717869309383715</v>
      </c>
    </row>
    <row r="16" spans="1:11" x14ac:dyDescent="0.25">
      <c r="A16" s="6">
        <v>15</v>
      </c>
      <c r="B16">
        <v>17.309999999999999</v>
      </c>
      <c r="C16" s="2">
        <f>Table1[[#This Row],[Ppv(W)]]/Table1[[#This Row],[Vpv(V)]]</f>
        <v>9.4153668399768922</v>
      </c>
      <c r="D16">
        <v>162.97999999999999</v>
      </c>
      <c r="E16">
        <v>39.96</v>
      </c>
      <c r="F16">
        <v>3.19</v>
      </c>
      <c r="G16">
        <v>127.62</v>
      </c>
      <c r="H16" s="1">
        <v>59.87</v>
      </c>
      <c r="I16" s="1">
        <v>1</v>
      </c>
      <c r="J16">
        <v>0</v>
      </c>
      <c r="K16" s="3">
        <f t="shared" si="0"/>
        <v>78.304086390968223</v>
      </c>
    </row>
    <row r="17" spans="1:11" x14ac:dyDescent="0.25">
      <c r="A17" s="6">
        <v>16</v>
      </c>
      <c r="B17">
        <v>17.21</v>
      </c>
      <c r="C17" s="2">
        <f>Table1[[#This Row],[Ppv(W)]]/Table1[[#This Row],[Vpv(V)]]</f>
        <v>9.4712376525276003</v>
      </c>
      <c r="D17">
        <v>163</v>
      </c>
      <c r="E17">
        <v>39.96</v>
      </c>
      <c r="F17">
        <v>3.19</v>
      </c>
      <c r="G17">
        <v>127.62</v>
      </c>
      <c r="H17" s="1">
        <v>58.31</v>
      </c>
      <c r="I17" s="1">
        <v>0</v>
      </c>
      <c r="J17">
        <v>191</v>
      </c>
      <c r="K17" s="3">
        <f t="shared" si="0"/>
        <v>78.294478527607367</v>
      </c>
    </row>
    <row r="18" spans="1:11" x14ac:dyDescent="0.25">
      <c r="A18" s="6">
        <v>17</v>
      </c>
      <c r="B18">
        <v>17.29</v>
      </c>
      <c r="C18" s="2">
        <f>Table1[[#This Row],[Ppv(W)]]/Table1[[#This Row],[Vpv(V)]]</f>
        <v>9.2342394447657608</v>
      </c>
      <c r="D18">
        <v>159.66</v>
      </c>
      <c r="E18">
        <v>39.96</v>
      </c>
      <c r="F18">
        <v>3.19</v>
      </c>
      <c r="G18">
        <v>127.3</v>
      </c>
      <c r="H18" s="1">
        <v>59.87</v>
      </c>
      <c r="I18" s="1">
        <v>2</v>
      </c>
      <c r="J18">
        <v>191</v>
      </c>
      <c r="K18" s="3">
        <f t="shared" si="0"/>
        <v>79.731930351997988</v>
      </c>
    </row>
    <row r="19" spans="1:11" x14ac:dyDescent="0.25">
      <c r="A19" s="6">
        <v>18</v>
      </c>
      <c r="B19">
        <v>17.29</v>
      </c>
      <c r="C19" s="2">
        <f>Table1[[#This Row],[Ppv(W)]]/Table1[[#This Row],[Vpv(V)]]</f>
        <v>9.3123192596876798</v>
      </c>
      <c r="D19">
        <v>161.01</v>
      </c>
      <c r="E19">
        <v>39.96</v>
      </c>
      <c r="F19">
        <v>3.19</v>
      </c>
      <c r="G19">
        <v>127.3</v>
      </c>
      <c r="H19" s="1">
        <v>59.87</v>
      </c>
      <c r="I19" s="1">
        <v>1</v>
      </c>
      <c r="J19">
        <v>191</v>
      </c>
      <c r="K19" s="3">
        <f t="shared" si="0"/>
        <v>79.063412210421717</v>
      </c>
    </row>
    <row r="20" spans="1:11" x14ac:dyDescent="0.25">
      <c r="A20" s="6">
        <v>19</v>
      </c>
      <c r="B20">
        <v>17.37</v>
      </c>
      <c r="C20" s="2">
        <f>Table1[[#This Row],[Ppv(W)]]/Table1[[#This Row],[Vpv(V)]]</f>
        <v>9.2728842832469773</v>
      </c>
      <c r="D20">
        <v>161.07</v>
      </c>
      <c r="E20">
        <v>39.96</v>
      </c>
      <c r="F20">
        <v>3.19</v>
      </c>
      <c r="G20">
        <v>127.3</v>
      </c>
      <c r="H20" s="1">
        <v>58.31</v>
      </c>
      <c r="I20" s="1">
        <v>0</v>
      </c>
      <c r="J20">
        <v>191</v>
      </c>
      <c r="K20" s="3">
        <f t="shared" si="0"/>
        <v>79.033960389892599</v>
      </c>
    </row>
    <row r="21" spans="1:11" x14ac:dyDescent="0.25">
      <c r="A21" s="6">
        <v>20</v>
      </c>
      <c r="B21">
        <v>17.32</v>
      </c>
      <c r="C21" s="2">
        <f>Table1[[#This Row],[Ppv(W)]]/Table1[[#This Row],[Vpv(V)]]</f>
        <v>9.3239030023094696</v>
      </c>
      <c r="D21">
        <v>161.49</v>
      </c>
      <c r="E21">
        <v>39.96</v>
      </c>
      <c r="F21">
        <v>3.19</v>
      </c>
      <c r="G21">
        <v>127.41</v>
      </c>
      <c r="H21" s="1">
        <v>56.74</v>
      </c>
      <c r="I21" s="1">
        <v>0</v>
      </c>
      <c r="J21">
        <v>186</v>
      </c>
      <c r="K21" s="3">
        <f t="shared" si="0"/>
        <v>78.896526100687353</v>
      </c>
    </row>
    <row r="22" spans="1:11" x14ac:dyDescent="0.25">
      <c r="A22" s="6">
        <v>21</v>
      </c>
      <c r="B22">
        <v>17.37</v>
      </c>
      <c r="C22" s="2">
        <f>Table1[[#This Row],[Ppv(W)]]/Table1[[#This Row],[Vpv(V)]]</f>
        <v>9.0944156591824985</v>
      </c>
      <c r="D22">
        <v>157.97</v>
      </c>
      <c r="E22">
        <v>39.96</v>
      </c>
      <c r="F22">
        <v>3.18</v>
      </c>
      <c r="G22">
        <v>126.99</v>
      </c>
      <c r="H22" s="1">
        <v>58.31</v>
      </c>
      <c r="I22" s="1">
        <v>2</v>
      </c>
      <c r="J22">
        <v>186</v>
      </c>
      <c r="K22" s="3">
        <f t="shared" si="0"/>
        <v>80.388681395201615</v>
      </c>
    </row>
    <row r="23" spans="1:11" x14ac:dyDescent="0.25">
      <c r="A23" s="6">
        <v>22</v>
      </c>
      <c r="B23">
        <v>17.34</v>
      </c>
      <c r="C23" s="2">
        <f>Table1[[#This Row],[Ppv(W)]]/Table1[[#This Row],[Vpv(V)]]</f>
        <v>9.1049596309111873</v>
      </c>
      <c r="D23">
        <v>157.88</v>
      </c>
      <c r="E23">
        <v>39.96</v>
      </c>
      <c r="F23">
        <v>3.17</v>
      </c>
      <c r="G23">
        <v>126.78</v>
      </c>
      <c r="H23" s="1">
        <v>59.87</v>
      </c>
      <c r="I23" s="1">
        <v>0</v>
      </c>
      <c r="J23">
        <v>186</v>
      </c>
      <c r="K23" s="3">
        <f t="shared" si="0"/>
        <v>80.301494806181921</v>
      </c>
    </row>
    <row r="24" spans="1:11" x14ac:dyDescent="0.25">
      <c r="A24" s="6">
        <v>23</v>
      </c>
      <c r="B24">
        <v>17.420000000000002</v>
      </c>
      <c r="C24" s="2">
        <f>Table1[[#This Row],[Ppv(W)]]/Table1[[#This Row],[Vpv(V)]]</f>
        <v>9.0309988518943722</v>
      </c>
      <c r="D24">
        <v>157.32</v>
      </c>
      <c r="E24">
        <v>39.96</v>
      </c>
      <c r="F24">
        <v>3.18</v>
      </c>
      <c r="G24">
        <v>126.88</v>
      </c>
      <c r="H24" s="1">
        <v>59.87</v>
      </c>
      <c r="I24" s="1">
        <v>2</v>
      </c>
      <c r="J24">
        <v>186</v>
      </c>
      <c r="K24" s="3">
        <f t="shared" si="0"/>
        <v>80.650902618865999</v>
      </c>
    </row>
    <row r="25" spans="1:11" x14ac:dyDescent="0.25">
      <c r="A25" s="6">
        <v>24</v>
      </c>
      <c r="B25">
        <v>17.41</v>
      </c>
      <c r="C25" s="2">
        <f>Table1[[#This Row],[Ppv(W)]]/Table1[[#This Row],[Vpv(V)]]</f>
        <v>9.3400344629523264</v>
      </c>
      <c r="D25">
        <v>162.61000000000001</v>
      </c>
      <c r="E25">
        <v>39.96</v>
      </c>
      <c r="F25">
        <v>3.19</v>
      </c>
      <c r="G25">
        <v>127.41</v>
      </c>
      <c r="H25" s="1">
        <v>58.31</v>
      </c>
      <c r="I25" s="1">
        <v>1</v>
      </c>
      <c r="J25">
        <v>186</v>
      </c>
      <c r="K25" s="3">
        <f t="shared" si="0"/>
        <v>78.353114814587045</v>
      </c>
    </row>
    <row r="26" spans="1:11" x14ac:dyDescent="0.25">
      <c r="A26" s="6">
        <v>25</v>
      </c>
      <c r="B26">
        <v>17.489999999999998</v>
      </c>
      <c r="C26" s="2">
        <f>Table1[[#This Row],[Ppv(W)]]/Table1[[#This Row],[Vpv(V)]]</f>
        <v>9.2601486563750726</v>
      </c>
      <c r="D26">
        <v>161.96</v>
      </c>
      <c r="E26">
        <v>39.96</v>
      </c>
      <c r="F26">
        <v>3.18</v>
      </c>
      <c r="G26">
        <v>127.2</v>
      </c>
      <c r="H26" s="1">
        <v>59.87</v>
      </c>
      <c r="I26" s="1">
        <v>2</v>
      </c>
      <c r="J26">
        <v>186</v>
      </c>
      <c r="K26" s="3">
        <f t="shared" si="0"/>
        <v>78.5379105952087</v>
      </c>
    </row>
    <row r="27" spans="1:11" x14ac:dyDescent="0.25">
      <c r="A27" s="6">
        <v>26</v>
      </c>
      <c r="B27">
        <v>17.43</v>
      </c>
      <c r="C27" s="2">
        <f>Table1[[#This Row],[Ppv(W)]]/Table1[[#This Row],[Vpv(V)]]</f>
        <v>9.2690763052208833</v>
      </c>
      <c r="D27">
        <v>161.56</v>
      </c>
      <c r="E27">
        <v>39.96</v>
      </c>
      <c r="F27">
        <v>3.19</v>
      </c>
      <c r="G27">
        <v>127.3</v>
      </c>
      <c r="H27" s="1">
        <v>59.87</v>
      </c>
      <c r="I27" s="1">
        <v>0</v>
      </c>
      <c r="J27">
        <v>191</v>
      </c>
      <c r="K27" s="3">
        <f t="shared" si="0"/>
        <v>78.794256003961365</v>
      </c>
    </row>
    <row r="28" spans="1:11" x14ac:dyDescent="0.25">
      <c r="A28" s="6">
        <v>27</v>
      </c>
      <c r="B28">
        <v>17.41</v>
      </c>
      <c r="C28" s="2">
        <f>Table1[[#This Row],[Ppv(W)]]/Table1[[#This Row],[Vpv(V)]]</f>
        <v>9.3130384836300966</v>
      </c>
      <c r="D28">
        <v>162.13999999999999</v>
      </c>
      <c r="E28">
        <v>39.96</v>
      </c>
      <c r="F28">
        <v>3.19</v>
      </c>
      <c r="G28">
        <v>127.3</v>
      </c>
      <c r="H28" s="1">
        <v>58.31</v>
      </c>
      <c r="I28" s="1">
        <v>1</v>
      </c>
      <c r="J28">
        <v>191</v>
      </c>
      <c r="K28" s="3">
        <f t="shared" si="0"/>
        <v>78.512396694214885</v>
      </c>
    </row>
    <row r="29" spans="1:11" x14ac:dyDescent="0.25">
      <c r="A29" s="6">
        <v>28</v>
      </c>
      <c r="B29">
        <v>17.309999999999999</v>
      </c>
      <c r="C29" s="2">
        <f>Table1[[#This Row],[Ppv(W)]]/Table1[[#This Row],[Vpv(V)]]</f>
        <v>9.3731946851530914</v>
      </c>
      <c r="D29">
        <v>162.25</v>
      </c>
      <c r="E29">
        <v>39.96</v>
      </c>
      <c r="F29">
        <v>3.19</v>
      </c>
      <c r="G29">
        <v>127.3</v>
      </c>
      <c r="H29" s="1">
        <v>56.74</v>
      </c>
      <c r="I29" s="1">
        <v>0</v>
      </c>
      <c r="J29">
        <v>186</v>
      </c>
      <c r="K29" s="3">
        <f t="shared" si="0"/>
        <v>78.45916795069337</v>
      </c>
    </row>
    <row r="30" spans="1:11" x14ac:dyDescent="0.25">
      <c r="A30" s="6">
        <v>29</v>
      </c>
      <c r="B30">
        <v>17.36</v>
      </c>
      <c r="C30" s="2">
        <f>Table1[[#This Row],[Ppv(W)]]/Table1[[#This Row],[Vpv(V)]]</f>
        <v>9.2258064516129039</v>
      </c>
      <c r="D30">
        <v>160.16</v>
      </c>
      <c r="E30">
        <v>39.96</v>
      </c>
      <c r="F30">
        <v>3.18</v>
      </c>
      <c r="G30">
        <v>126.99</v>
      </c>
      <c r="H30" s="1">
        <v>55.17</v>
      </c>
      <c r="I30" s="1">
        <v>2</v>
      </c>
      <c r="J30">
        <v>186</v>
      </c>
      <c r="K30" s="3">
        <f t="shared" si="0"/>
        <v>79.289460539460549</v>
      </c>
    </row>
    <row r="31" spans="1:11" x14ac:dyDescent="0.25">
      <c r="A31" s="6">
        <v>30</v>
      </c>
      <c r="B31">
        <v>17.48</v>
      </c>
      <c r="C31" s="2">
        <f>Table1[[#This Row],[Ppv(W)]]/Table1[[#This Row],[Vpv(V)]]</f>
        <v>8.8403890160183067</v>
      </c>
      <c r="D31">
        <v>154.53</v>
      </c>
      <c r="E31">
        <v>39.96</v>
      </c>
      <c r="F31">
        <v>3.15</v>
      </c>
      <c r="G31">
        <v>125.83</v>
      </c>
      <c r="H31" s="1">
        <v>56.74</v>
      </c>
      <c r="I31" s="1">
        <v>2</v>
      </c>
      <c r="J31">
        <v>186</v>
      </c>
      <c r="K31" s="3">
        <f t="shared" si="0"/>
        <v>81.427554520157898</v>
      </c>
    </row>
    <row r="32" spans="1:11" x14ac:dyDescent="0.25">
      <c r="A32" s="6">
        <v>31</v>
      </c>
      <c r="B32">
        <v>17.489999999999998</v>
      </c>
      <c r="C32" s="2">
        <f>Table1[[#This Row],[Ppv(W)]]/Table1[[#This Row],[Vpv(V)]]</f>
        <v>8.8639222412807328</v>
      </c>
      <c r="D32">
        <v>155.03</v>
      </c>
      <c r="E32">
        <v>39.96</v>
      </c>
      <c r="F32">
        <v>3.15</v>
      </c>
      <c r="G32">
        <v>125.83</v>
      </c>
      <c r="H32" s="1">
        <v>58.31</v>
      </c>
      <c r="I32" s="1">
        <v>1</v>
      </c>
      <c r="J32">
        <v>186</v>
      </c>
      <c r="K32" s="3">
        <f t="shared" si="0"/>
        <v>81.164935818873758</v>
      </c>
    </row>
    <row r="33" spans="1:11" x14ac:dyDescent="0.25">
      <c r="A33" s="6">
        <v>32</v>
      </c>
      <c r="B33">
        <v>17.43</v>
      </c>
      <c r="C33" s="2">
        <f>Table1[[#This Row],[Ppv(W)]]/Table1[[#This Row],[Vpv(V)]]</f>
        <v>8.7923121055651183</v>
      </c>
      <c r="D33">
        <v>153.25</v>
      </c>
      <c r="E33">
        <v>39.96</v>
      </c>
      <c r="F33">
        <v>3.15</v>
      </c>
      <c r="G33">
        <v>126.04</v>
      </c>
      <c r="H33" s="1">
        <v>56.74</v>
      </c>
      <c r="I33" s="1">
        <v>2</v>
      </c>
      <c r="J33">
        <v>186</v>
      </c>
      <c r="K33" s="3">
        <f t="shared" si="0"/>
        <v>82.244698205546499</v>
      </c>
    </row>
    <row r="34" spans="1:11" x14ac:dyDescent="0.25">
      <c r="A34" s="6">
        <v>33</v>
      </c>
      <c r="B34">
        <v>17.37</v>
      </c>
      <c r="C34" s="2">
        <f>Table1[[#This Row],[Ppv(W)]]/Table1[[#This Row],[Vpv(V)]]</f>
        <v>8.8376511226252141</v>
      </c>
      <c r="D34">
        <v>153.51</v>
      </c>
      <c r="E34">
        <v>39.96</v>
      </c>
      <c r="F34">
        <v>3.17</v>
      </c>
      <c r="G34">
        <v>126.57</v>
      </c>
      <c r="H34" s="1">
        <v>55.17</v>
      </c>
      <c r="I34" s="1">
        <v>0</v>
      </c>
      <c r="J34">
        <v>181</v>
      </c>
      <c r="K34" s="3">
        <f t="shared" si="0"/>
        <v>82.450654680476845</v>
      </c>
    </row>
    <row r="35" spans="1:11" x14ac:dyDescent="0.25">
      <c r="A35" s="6">
        <v>34</v>
      </c>
      <c r="B35">
        <v>17.36</v>
      </c>
      <c r="C35" s="2">
        <f>Table1[[#This Row],[Ppv(W)]]/Table1[[#This Row],[Vpv(V)]]</f>
        <v>8.7672811059907829</v>
      </c>
      <c r="D35">
        <v>152.19999999999999</v>
      </c>
      <c r="E35">
        <v>39.96</v>
      </c>
      <c r="F35">
        <v>3.16</v>
      </c>
      <c r="G35">
        <v>126.46</v>
      </c>
      <c r="H35" s="1">
        <v>53.61</v>
      </c>
      <c r="I35" s="1">
        <v>2</v>
      </c>
      <c r="J35">
        <v>181</v>
      </c>
      <c r="K35" s="3">
        <f t="shared" si="0"/>
        <v>83.088042049934302</v>
      </c>
    </row>
    <row r="36" spans="1:11" x14ac:dyDescent="0.25">
      <c r="A36" s="6">
        <v>35</v>
      </c>
      <c r="B36">
        <v>17.39</v>
      </c>
      <c r="C36" s="2">
        <f>Table1[[#This Row],[Ppv(W)]]/Table1[[#This Row],[Vpv(V)]]</f>
        <v>8.6555491661874644</v>
      </c>
      <c r="D36">
        <v>150.52000000000001</v>
      </c>
      <c r="E36">
        <v>39.96</v>
      </c>
      <c r="F36">
        <v>3.15</v>
      </c>
      <c r="G36">
        <v>125.93</v>
      </c>
      <c r="H36" s="1">
        <v>52.04</v>
      </c>
      <c r="I36" s="1">
        <v>2</v>
      </c>
      <c r="J36">
        <v>181</v>
      </c>
      <c r="K36" s="3">
        <f t="shared" si="0"/>
        <v>83.663300558065373</v>
      </c>
    </row>
    <row r="37" spans="1:11" x14ac:dyDescent="0.25">
      <c r="A37" s="6">
        <v>36</v>
      </c>
      <c r="B37">
        <v>17.55</v>
      </c>
      <c r="C37" s="2">
        <f>Table1[[#This Row],[Ppv(W)]]/Table1[[#This Row],[Vpv(V)]]</f>
        <v>8.3179487179487168</v>
      </c>
      <c r="D37">
        <v>145.97999999999999</v>
      </c>
      <c r="E37">
        <v>39.96</v>
      </c>
      <c r="F37">
        <v>3.12</v>
      </c>
      <c r="G37">
        <v>124.56</v>
      </c>
      <c r="H37" s="1">
        <v>53.61</v>
      </c>
      <c r="I37" s="1">
        <v>2</v>
      </c>
      <c r="J37">
        <v>181</v>
      </c>
      <c r="K37" s="3">
        <f t="shared" si="0"/>
        <v>85.326757090012336</v>
      </c>
    </row>
    <row r="38" spans="1:11" x14ac:dyDescent="0.25">
      <c r="A38" s="6">
        <v>37</v>
      </c>
      <c r="B38">
        <v>17.670000000000002</v>
      </c>
      <c r="C38" s="2">
        <f>Table1[[#This Row],[Ppv(W)]]/Table1[[#This Row],[Vpv(V)]]</f>
        <v>8.1782682512733427</v>
      </c>
      <c r="D38">
        <v>144.51</v>
      </c>
      <c r="E38">
        <v>39.96</v>
      </c>
      <c r="F38">
        <v>3.1</v>
      </c>
      <c r="G38">
        <v>123.93</v>
      </c>
      <c r="H38" s="1">
        <v>55.17</v>
      </c>
      <c r="I38" s="1">
        <v>2</v>
      </c>
      <c r="J38">
        <v>181</v>
      </c>
      <c r="K38" s="3">
        <f t="shared" si="0"/>
        <v>85.758771019306636</v>
      </c>
    </row>
    <row r="39" spans="1:11" x14ac:dyDescent="0.25">
      <c r="A39" s="6">
        <v>38</v>
      </c>
      <c r="B39">
        <v>17.75</v>
      </c>
      <c r="C39" s="2">
        <f>Table1[[#This Row],[Ppv(W)]]/Table1[[#This Row],[Vpv(V)]]</f>
        <v>8.0788732394366196</v>
      </c>
      <c r="D39">
        <v>143.4</v>
      </c>
      <c r="E39">
        <v>39.96</v>
      </c>
      <c r="F39">
        <v>3.1</v>
      </c>
      <c r="G39">
        <v>123.93</v>
      </c>
      <c r="H39" s="1">
        <v>56.74</v>
      </c>
      <c r="I39" s="1">
        <v>2</v>
      </c>
      <c r="J39">
        <v>181</v>
      </c>
      <c r="K39" s="3">
        <f t="shared" si="0"/>
        <v>86.422594142259413</v>
      </c>
    </row>
    <row r="40" spans="1:11" x14ac:dyDescent="0.25">
      <c r="A40" s="6">
        <v>39</v>
      </c>
      <c r="B40">
        <v>17.7</v>
      </c>
      <c r="C40" s="2">
        <f>Table1[[#This Row],[Ppv(W)]]/Table1[[#This Row],[Vpv(V)]]</f>
        <v>8.3096045197740125</v>
      </c>
      <c r="D40">
        <v>147.08000000000001</v>
      </c>
      <c r="E40">
        <v>39.96</v>
      </c>
      <c r="F40">
        <v>3.13</v>
      </c>
      <c r="G40">
        <v>125.09</v>
      </c>
      <c r="H40" s="1">
        <v>58.31</v>
      </c>
      <c r="I40" s="1">
        <v>1</v>
      </c>
      <c r="J40">
        <v>181</v>
      </c>
      <c r="K40" s="3">
        <f t="shared" si="0"/>
        <v>85.048952950775075</v>
      </c>
    </row>
    <row r="41" spans="1:11" x14ac:dyDescent="0.25">
      <c r="A41" s="6">
        <v>40</v>
      </c>
      <c r="B41">
        <v>17.57</v>
      </c>
      <c r="C41" s="2">
        <f>Table1[[#This Row],[Ppv(W)]]/Table1[[#This Row],[Vpv(V)]]</f>
        <v>8.5099601593625511</v>
      </c>
      <c r="D41">
        <v>149.52000000000001</v>
      </c>
      <c r="E41">
        <v>39.96</v>
      </c>
      <c r="F41">
        <v>3.15</v>
      </c>
      <c r="G41">
        <v>126.04</v>
      </c>
      <c r="H41" s="1">
        <v>59.87</v>
      </c>
      <c r="I41" s="1">
        <v>1</v>
      </c>
      <c r="J41">
        <v>181</v>
      </c>
      <c r="K41" s="3">
        <f t="shared" si="0"/>
        <v>84.296415195291601</v>
      </c>
    </row>
    <row r="42" spans="1:11" x14ac:dyDescent="0.25">
      <c r="A42" s="6">
        <v>41</v>
      </c>
      <c r="B42">
        <v>17.440000000000001</v>
      </c>
      <c r="C42" s="2">
        <f>Table1[[#This Row],[Ppv(W)]]/Table1[[#This Row],[Vpv(V)]]</f>
        <v>8.8308486238532105</v>
      </c>
      <c r="D42">
        <v>154.01</v>
      </c>
      <c r="E42">
        <v>39.96</v>
      </c>
      <c r="F42">
        <v>3.18</v>
      </c>
      <c r="G42">
        <v>126.88</v>
      </c>
      <c r="H42" s="1">
        <v>59.87</v>
      </c>
      <c r="I42" s="1">
        <v>1</v>
      </c>
      <c r="J42">
        <v>181</v>
      </c>
      <c r="K42" s="3">
        <f t="shared" si="0"/>
        <v>82.384260762288164</v>
      </c>
    </row>
    <row r="43" spans="1:11" x14ac:dyDescent="0.25">
      <c r="A43" s="6">
        <v>42</v>
      </c>
      <c r="B43">
        <v>17.32</v>
      </c>
      <c r="C43" s="2">
        <f>Table1[[#This Row],[Ppv(W)]]/Table1[[#This Row],[Vpv(V)]]</f>
        <v>9.0265588914549646</v>
      </c>
      <c r="D43">
        <v>156.34</v>
      </c>
      <c r="E43">
        <v>39.96</v>
      </c>
      <c r="F43">
        <v>3.18</v>
      </c>
      <c r="G43">
        <v>127.2</v>
      </c>
      <c r="H43" s="1">
        <v>59.87</v>
      </c>
      <c r="I43" s="1">
        <v>1</v>
      </c>
      <c r="J43">
        <v>181</v>
      </c>
      <c r="K43" s="3">
        <f t="shared" si="0"/>
        <v>81.361135985672249</v>
      </c>
    </row>
    <row r="44" spans="1:11" x14ac:dyDescent="0.25">
      <c r="A44" s="6">
        <v>43</v>
      </c>
      <c r="B44">
        <v>17.23</v>
      </c>
      <c r="C44" s="2">
        <f>Table1[[#This Row],[Ppv(W)]]/Table1[[#This Row],[Vpv(V)]]</f>
        <v>9.3731863029599527</v>
      </c>
      <c r="D44">
        <v>161.5</v>
      </c>
      <c r="E44">
        <v>39.96</v>
      </c>
      <c r="F44">
        <v>3.19</v>
      </c>
      <c r="G44">
        <v>127.51</v>
      </c>
      <c r="H44" s="1">
        <v>59.87</v>
      </c>
      <c r="I44" s="1">
        <v>1</v>
      </c>
      <c r="J44">
        <v>181</v>
      </c>
      <c r="K44" s="3">
        <f t="shared" si="0"/>
        <v>78.953560371517028</v>
      </c>
    </row>
    <row r="45" spans="1:11" x14ac:dyDescent="0.25">
      <c r="A45" s="6">
        <v>44</v>
      </c>
      <c r="B45">
        <v>17.25</v>
      </c>
      <c r="C45" s="2">
        <f>Table1[[#This Row],[Ppv(W)]]/Table1[[#This Row],[Vpv(V)]]</f>
        <v>9.378550724637682</v>
      </c>
      <c r="D45">
        <v>161.78</v>
      </c>
      <c r="E45">
        <v>39.96</v>
      </c>
      <c r="F45">
        <v>3.19</v>
      </c>
      <c r="G45">
        <v>127.62</v>
      </c>
      <c r="H45" s="1">
        <v>58.31</v>
      </c>
      <c r="I45" s="1">
        <v>0</v>
      </c>
      <c r="J45">
        <v>191</v>
      </c>
      <c r="K45" s="3">
        <f t="shared" si="0"/>
        <v>78.884905427123257</v>
      </c>
    </row>
    <row r="46" spans="1:11" x14ac:dyDescent="0.25">
      <c r="A46" s="6">
        <v>45</v>
      </c>
      <c r="B46">
        <v>17.29</v>
      </c>
      <c r="C46" s="2">
        <f>Table1[[#This Row],[Ppv(W)]]/Table1[[#This Row],[Vpv(V)]]</f>
        <v>9.3574320416425678</v>
      </c>
      <c r="D46">
        <v>161.79</v>
      </c>
      <c r="E46">
        <v>39.96</v>
      </c>
      <c r="F46">
        <v>3.19</v>
      </c>
      <c r="G46">
        <v>127.3</v>
      </c>
      <c r="H46" s="1">
        <v>56.74</v>
      </c>
      <c r="I46" s="1">
        <v>0</v>
      </c>
      <c r="J46">
        <v>186</v>
      </c>
      <c r="K46" s="3">
        <f t="shared" si="0"/>
        <v>78.682242413004516</v>
      </c>
    </row>
    <row r="47" spans="1:11" x14ac:dyDescent="0.25">
      <c r="A47" s="6">
        <v>46</v>
      </c>
      <c r="B47">
        <v>17.43</v>
      </c>
      <c r="C47" s="2">
        <f>Table1[[#This Row],[Ppv(W)]]/Table1[[#This Row],[Vpv(V)]]</f>
        <v>9.102122776821572</v>
      </c>
      <c r="D47">
        <v>158.65</v>
      </c>
      <c r="E47">
        <v>39.96</v>
      </c>
      <c r="F47">
        <v>3.17</v>
      </c>
      <c r="G47">
        <v>126.78</v>
      </c>
      <c r="H47" s="1">
        <v>58.31</v>
      </c>
      <c r="I47" s="1">
        <v>2</v>
      </c>
      <c r="J47">
        <v>186</v>
      </c>
      <c r="K47" s="3">
        <f t="shared" si="0"/>
        <v>79.911755436495426</v>
      </c>
    </row>
    <row r="48" spans="1:11" x14ac:dyDescent="0.25">
      <c r="A48" s="6">
        <v>47</v>
      </c>
      <c r="B48">
        <v>17.350000000000001</v>
      </c>
      <c r="C48" s="2">
        <f>Table1[[#This Row],[Ppv(W)]]/Table1[[#This Row],[Vpv(V)]]</f>
        <v>9.1060518731988473</v>
      </c>
      <c r="D48">
        <v>157.99</v>
      </c>
      <c r="E48">
        <v>39.96</v>
      </c>
      <c r="F48">
        <v>3.17</v>
      </c>
      <c r="G48">
        <v>126.78</v>
      </c>
      <c r="H48" s="1">
        <v>56.74</v>
      </c>
      <c r="I48" s="1">
        <v>2</v>
      </c>
      <c r="J48">
        <v>186</v>
      </c>
      <c r="K48" s="3">
        <f t="shared" si="0"/>
        <v>80.245585163617946</v>
      </c>
    </row>
    <row r="49" spans="1:11" x14ac:dyDescent="0.25">
      <c r="A49" s="6">
        <v>48</v>
      </c>
      <c r="B49">
        <v>17.41</v>
      </c>
      <c r="C49" s="2">
        <f>Table1[[#This Row],[Ppv(W)]]/Table1[[#This Row],[Vpv(V)]]</f>
        <v>9.0442274554853537</v>
      </c>
      <c r="D49">
        <v>157.46</v>
      </c>
      <c r="E49">
        <v>39.96</v>
      </c>
      <c r="F49">
        <v>3.17</v>
      </c>
      <c r="G49">
        <v>126.57</v>
      </c>
      <c r="H49" s="1">
        <v>58.31</v>
      </c>
      <c r="I49" s="1">
        <v>2</v>
      </c>
      <c r="J49">
        <v>186</v>
      </c>
      <c r="K49" s="3">
        <f t="shared" si="0"/>
        <v>80.382319319192163</v>
      </c>
    </row>
    <row r="50" spans="1:11" x14ac:dyDescent="0.25">
      <c r="A50" s="6">
        <v>49</v>
      </c>
      <c r="B50">
        <v>17.38</v>
      </c>
      <c r="C50" s="2">
        <f>Table1[[#This Row],[Ppv(W)]]/Table1[[#This Row],[Vpv(V)]]</f>
        <v>9.1196777905638662</v>
      </c>
      <c r="D50">
        <v>158.5</v>
      </c>
      <c r="E50">
        <v>39.96</v>
      </c>
      <c r="F50">
        <v>3.18</v>
      </c>
      <c r="G50">
        <v>126.99</v>
      </c>
      <c r="H50" s="1">
        <v>59.87</v>
      </c>
      <c r="I50" s="1">
        <v>1</v>
      </c>
      <c r="J50">
        <v>186</v>
      </c>
      <c r="K50" s="3">
        <f t="shared" si="0"/>
        <v>80.119873817034687</v>
      </c>
    </row>
    <row r="51" spans="1:11" x14ac:dyDescent="0.25">
      <c r="A51" s="6">
        <v>50</v>
      </c>
      <c r="B51">
        <v>17.41</v>
      </c>
      <c r="C51" s="2">
        <f>Table1[[#This Row],[Ppv(W)]]/Table1[[#This Row],[Vpv(V)]]</f>
        <v>9.2205628948879959</v>
      </c>
      <c r="D51">
        <v>160.53</v>
      </c>
      <c r="E51">
        <v>39.96</v>
      </c>
      <c r="F51">
        <v>3.18</v>
      </c>
      <c r="G51">
        <v>127.09</v>
      </c>
      <c r="H51" s="1">
        <v>59.87</v>
      </c>
      <c r="I51" s="1">
        <v>1</v>
      </c>
      <c r="J51">
        <v>186</v>
      </c>
      <c r="K51" s="3">
        <f t="shared" si="0"/>
        <v>79.169002678627052</v>
      </c>
    </row>
    <row r="52" spans="1:11" x14ac:dyDescent="0.25">
      <c r="A52" s="6">
        <v>51</v>
      </c>
      <c r="B52">
        <v>17.43</v>
      </c>
      <c r="C52" s="2">
        <f>Table1[[#This Row],[Ppv(W)]]/Table1[[#This Row],[Vpv(V)]]</f>
        <v>9.1990820424555366</v>
      </c>
      <c r="D52">
        <v>160.34</v>
      </c>
      <c r="E52">
        <v>39.96</v>
      </c>
      <c r="F52">
        <v>3.19</v>
      </c>
      <c r="G52">
        <v>127.3</v>
      </c>
      <c r="H52" s="1">
        <v>58.31</v>
      </c>
      <c r="I52" s="1">
        <v>0</v>
      </c>
      <c r="J52">
        <v>191</v>
      </c>
      <c r="K52" s="3">
        <f t="shared" si="0"/>
        <v>79.393788200074837</v>
      </c>
    </row>
    <row r="53" spans="1:11" x14ac:dyDescent="0.25">
      <c r="A53" s="6">
        <v>52</v>
      </c>
      <c r="B53">
        <v>17.41</v>
      </c>
      <c r="C53" s="2">
        <f>Table1[[#This Row],[Ppv(W)]]/Table1[[#This Row],[Vpv(V)]]</f>
        <v>9.2958070074669727</v>
      </c>
      <c r="D53">
        <v>161.84</v>
      </c>
      <c r="E53">
        <v>39.96</v>
      </c>
      <c r="F53">
        <v>3.19</v>
      </c>
      <c r="G53">
        <v>127.51</v>
      </c>
      <c r="H53" s="1">
        <v>56.74</v>
      </c>
      <c r="I53" s="1">
        <v>1</v>
      </c>
      <c r="J53">
        <v>191</v>
      </c>
      <c r="K53" s="3">
        <f t="shared" si="0"/>
        <v>78.787691547207118</v>
      </c>
    </row>
    <row r="54" spans="1:11" x14ac:dyDescent="0.25">
      <c r="A54" s="6">
        <v>53</v>
      </c>
      <c r="B54">
        <v>17.39</v>
      </c>
      <c r="C54" s="2">
        <f>Table1[[#This Row],[Ppv(W)]]/Table1[[#This Row],[Vpv(V)]]</f>
        <v>9.1167337550316265</v>
      </c>
      <c r="D54">
        <v>158.54</v>
      </c>
      <c r="E54">
        <v>39.96</v>
      </c>
      <c r="F54">
        <v>3.18</v>
      </c>
      <c r="G54">
        <v>126.99</v>
      </c>
      <c r="H54" s="1">
        <v>55.17</v>
      </c>
      <c r="I54" s="1">
        <v>2</v>
      </c>
      <c r="J54">
        <v>191</v>
      </c>
      <c r="K54" s="3">
        <f t="shared" si="0"/>
        <v>80.099659391951562</v>
      </c>
    </row>
    <row r="55" spans="1:11" x14ac:dyDescent="0.25">
      <c r="A55" s="6">
        <v>54</v>
      </c>
      <c r="B55">
        <v>17.489999999999998</v>
      </c>
      <c r="C55" s="2">
        <f>Table1[[#This Row],[Ppv(W)]]/Table1[[#This Row],[Vpv(V)]]</f>
        <v>8.8879359634076618</v>
      </c>
      <c r="D55">
        <v>155.44999999999999</v>
      </c>
      <c r="E55">
        <v>39.96</v>
      </c>
      <c r="F55">
        <v>3.16</v>
      </c>
      <c r="G55">
        <v>126.14</v>
      </c>
      <c r="H55" s="1">
        <v>56.74</v>
      </c>
      <c r="I55" s="1">
        <v>2</v>
      </c>
      <c r="J55">
        <v>191</v>
      </c>
      <c r="K55" s="3">
        <f t="shared" si="0"/>
        <v>81.145062721132206</v>
      </c>
    </row>
    <row r="56" spans="1:11" x14ac:dyDescent="0.25">
      <c r="A56" s="6">
        <v>55</v>
      </c>
      <c r="B56">
        <v>17.48</v>
      </c>
      <c r="C56" s="2">
        <f>Table1[[#This Row],[Ppv(W)]]/Table1[[#This Row],[Vpv(V)]]</f>
        <v>8.8415331807780326</v>
      </c>
      <c r="D56">
        <v>154.55000000000001</v>
      </c>
      <c r="E56">
        <v>39.96</v>
      </c>
      <c r="F56">
        <v>3.15</v>
      </c>
      <c r="G56">
        <v>125.83</v>
      </c>
      <c r="H56" s="1">
        <v>58.31</v>
      </c>
      <c r="I56" s="1">
        <v>2</v>
      </c>
      <c r="J56">
        <v>191</v>
      </c>
      <c r="K56" s="3">
        <f t="shared" si="0"/>
        <v>81.4170171465545</v>
      </c>
    </row>
    <row r="57" spans="1:11" x14ac:dyDescent="0.25">
      <c r="A57" s="6">
        <v>56</v>
      </c>
      <c r="B57">
        <v>17.48</v>
      </c>
      <c r="C57" s="2">
        <f>Table1[[#This Row],[Ppv(W)]]/Table1[[#This Row],[Vpv(V)]]</f>
        <v>8.7677345537757425</v>
      </c>
      <c r="D57">
        <v>153.26</v>
      </c>
      <c r="E57">
        <v>39.96</v>
      </c>
      <c r="F57">
        <v>3.16</v>
      </c>
      <c r="G57">
        <v>126.14</v>
      </c>
      <c r="H57" s="1">
        <v>59.87</v>
      </c>
      <c r="I57" s="1">
        <v>2</v>
      </c>
      <c r="J57">
        <v>191</v>
      </c>
      <c r="K57" s="3">
        <f t="shared" si="0"/>
        <v>82.304580451520295</v>
      </c>
    </row>
    <row r="58" spans="1:11" x14ac:dyDescent="0.25">
      <c r="A58" s="6">
        <v>57</v>
      </c>
      <c r="B58">
        <v>17.399999999999999</v>
      </c>
      <c r="C58" s="2">
        <f>Table1[[#This Row],[Ppv(W)]]/Table1[[#This Row],[Vpv(V)]]</f>
        <v>9.0350574712643699</v>
      </c>
      <c r="D58">
        <v>157.21</v>
      </c>
      <c r="E58">
        <v>39.96</v>
      </c>
      <c r="F58">
        <v>3.18</v>
      </c>
      <c r="G58">
        <v>126.99</v>
      </c>
      <c r="H58" s="1">
        <v>59.87</v>
      </c>
      <c r="I58" s="1">
        <v>1</v>
      </c>
      <c r="J58">
        <v>191</v>
      </c>
      <c r="K58" s="3">
        <f t="shared" si="0"/>
        <v>80.77730424273264</v>
      </c>
    </row>
    <row r="59" spans="1:11" x14ac:dyDescent="0.25">
      <c r="A59" s="6">
        <v>58</v>
      </c>
      <c r="B59">
        <v>17.34</v>
      </c>
      <c r="C59" s="2">
        <f>Table1[[#This Row],[Ppv(W)]]/Table1[[#This Row],[Vpv(V)]]</f>
        <v>9.1441753171856988</v>
      </c>
      <c r="D59">
        <v>158.56</v>
      </c>
      <c r="E59">
        <v>39.96</v>
      </c>
      <c r="F59">
        <v>3.19</v>
      </c>
      <c r="G59">
        <v>127.51</v>
      </c>
      <c r="H59" s="1">
        <v>59.87</v>
      </c>
      <c r="I59" s="1">
        <v>1</v>
      </c>
      <c r="J59">
        <v>191</v>
      </c>
      <c r="K59" s="3">
        <f t="shared" si="0"/>
        <v>80.417507568113024</v>
      </c>
    </row>
    <row r="60" spans="1:11" x14ac:dyDescent="0.25">
      <c r="A60" s="6">
        <v>59</v>
      </c>
      <c r="B60">
        <v>17.23</v>
      </c>
      <c r="C60" s="2">
        <f>Table1[[#This Row],[Ppv(W)]]/Table1[[#This Row],[Vpv(V)]]</f>
        <v>9.3470690655832858</v>
      </c>
      <c r="D60">
        <v>161.05000000000001</v>
      </c>
      <c r="E60">
        <v>39.96</v>
      </c>
      <c r="F60">
        <v>3.19</v>
      </c>
      <c r="G60">
        <v>127.62</v>
      </c>
      <c r="H60" s="1">
        <v>59.87</v>
      </c>
      <c r="I60" s="1">
        <v>1</v>
      </c>
      <c r="J60">
        <v>191</v>
      </c>
      <c r="K60" s="3">
        <f t="shared" si="0"/>
        <v>79.242471282210488</v>
      </c>
    </row>
    <row r="61" spans="1:11" x14ac:dyDescent="0.25">
      <c r="A61" s="6">
        <v>60</v>
      </c>
      <c r="B61">
        <v>17.28</v>
      </c>
      <c r="C61" s="2">
        <f>Table1[[#This Row],[Ppv(W)]]/Table1[[#This Row],[Vpv(V)]]</f>
        <v>9.4548611111111107</v>
      </c>
      <c r="D61">
        <v>163.38</v>
      </c>
      <c r="E61">
        <v>39.96</v>
      </c>
      <c r="F61">
        <v>3.19</v>
      </c>
      <c r="G61">
        <v>127.62</v>
      </c>
      <c r="H61" s="1">
        <v>58.31</v>
      </c>
      <c r="I61" s="1">
        <v>1</v>
      </c>
      <c r="J61">
        <v>191</v>
      </c>
      <c r="K61" s="3">
        <f t="shared" si="0"/>
        <v>78.112376055820789</v>
      </c>
    </row>
    <row r="62" spans="1:11" x14ac:dyDescent="0.25">
      <c r="A62" s="6">
        <v>61</v>
      </c>
      <c r="B62">
        <v>17.260000000000002</v>
      </c>
      <c r="C62" s="2">
        <f>Table1[[#This Row],[Ppv(W)]]/Table1[[#This Row],[Vpv(V)]]</f>
        <v>9.3377752027809944</v>
      </c>
      <c r="D62">
        <v>161.16999999999999</v>
      </c>
      <c r="E62">
        <v>39.96</v>
      </c>
      <c r="F62">
        <v>3.19</v>
      </c>
      <c r="G62">
        <v>127.3</v>
      </c>
      <c r="H62" s="1">
        <v>56.74</v>
      </c>
      <c r="I62" s="1">
        <v>2</v>
      </c>
      <c r="J62">
        <v>191</v>
      </c>
      <c r="K62" s="3">
        <f t="shared" si="0"/>
        <v>78.984922752373279</v>
      </c>
    </row>
    <row r="63" spans="1:11" x14ac:dyDescent="0.25">
      <c r="A63" s="6">
        <v>62</v>
      </c>
      <c r="B63">
        <v>17.38</v>
      </c>
      <c r="C63" s="2">
        <f>Table1[[#This Row],[Ppv(W)]]/Table1[[#This Row],[Vpv(V)]]</f>
        <v>9.1524741081703116</v>
      </c>
      <c r="D63">
        <v>159.07</v>
      </c>
      <c r="E63">
        <v>39.96</v>
      </c>
      <c r="F63">
        <v>3.18</v>
      </c>
      <c r="G63">
        <v>126.88</v>
      </c>
      <c r="H63" s="1">
        <v>58.31</v>
      </c>
      <c r="I63" s="1">
        <v>2</v>
      </c>
      <c r="J63">
        <v>191</v>
      </c>
      <c r="K63" s="3">
        <f t="shared" si="0"/>
        <v>79.763626076570063</v>
      </c>
    </row>
    <row r="64" spans="1:11" x14ac:dyDescent="0.25">
      <c r="A64" s="6">
        <v>63</v>
      </c>
      <c r="B64">
        <v>17.420000000000002</v>
      </c>
      <c r="C64" s="2">
        <f>Table1[[#This Row],[Ppv(W)]]/Table1[[#This Row],[Vpv(V)]]</f>
        <v>8.9982778415614231</v>
      </c>
      <c r="D64">
        <v>156.75</v>
      </c>
      <c r="E64">
        <v>39.96</v>
      </c>
      <c r="F64">
        <v>3.17</v>
      </c>
      <c r="G64">
        <v>126.67</v>
      </c>
      <c r="H64" s="1">
        <v>59.87</v>
      </c>
      <c r="I64" s="1">
        <v>2</v>
      </c>
      <c r="J64">
        <v>191</v>
      </c>
      <c r="K64" s="3">
        <f t="shared" si="0"/>
        <v>80.810207336523135</v>
      </c>
    </row>
    <row r="65" spans="1:11" x14ac:dyDescent="0.25">
      <c r="A65" s="6">
        <v>64</v>
      </c>
      <c r="B65">
        <v>17.440000000000001</v>
      </c>
      <c r="C65" s="2">
        <f>Table1[[#This Row],[Ppv(W)]]/Table1[[#This Row],[Vpv(V)]]</f>
        <v>8.9776376146788976</v>
      </c>
      <c r="D65">
        <v>156.57</v>
      </c>
      <c r="E65">
        <v>39.96</v>
      </c>
      <c r="F65">
        <v>3.17</v>
      </c>
      <c r="G65">
        <v>126.78</v>
      </c>
      <c r="H65" s="1">
        <v>59.87</v>
      </c>
      <c r="I65" s="1">
        <v>0</v>
      </c>
      <c r="J65">
        <v>191</v>
      </c>
      <c r="K65" s="3">
        <f t="shared" si="0"/>
        <v>80.973366545315201</v>
      </c>
    </row>
    <row r="66" spans="1:11" x14ac:dyDescent="0.25">
      <c r="A66" s="6">
        <v>65</v>
      </c>
      <c r="B66">
        <v>17.43</v>
      </c>
      <c r="C66" s="2">
        <f>Table1[[#This Row],[Ppv(W)]]/Table1[[#This Row],[Vpv(V)]]</f>
        <v>9.0625358577165809</v>
      </c>
      <c r="D66">
        <v>157.96</v>
      </c>
      <c r="E66">
        <v>39.96</v>
      </c>
      <c r="F66">
        <v>3.18</v>
      </c>
      <c r="G66">
        <v>127.09</v>
      </c>
      <c r="H66" s="1">
        <v>58.31</v>
      </c>
      <c r="I66" s="1">
        <v>1</v>
      </c>
      <c r="J66">
        <v>191</v>
      </c>
      <c r="K66" s="3">
        <f t="shared" si="0"/>
        <v>80.457077741200294</v>
      </c>
    </row>
    <row r="67" spans="1:11" x14ac:dyDescent="0.25">
      <c r="A67" s="6">
        <v>66</v>
      </c>
      <c r="B67">
        <v>17.37</v>
      </c>
      <c r="C67" s="2">
        <f>Table1[[#This Row],[Ppv(W)]]/Table1[[#This Row],[Vpv(V)]]</f>
        <v>9.1105354058721932</v>
      </c>
      <c r="D67">
        <v>158.25</v>
      </c>
      <c r="E67">
        <v>39.96</v>
      </c>
      <c r="F67">
        <v>3.19</v>
      </c>
      <c r="G67">
        <v>127.41</v>
      </c>
      <c r="H67" s="1">
        <v>56.74</v>
      </c>
      <c r="I67" s="1">
        <v>0</v>
      </c>
      <c r="J67">
        <v>186</v>
      </c>
      <c r="K67" s="3">
        <f t="shared" ref="K67:K125" si="1">(G67/D67)*100</f>
        <v>80.511848341232223</v>
      </c>
    </row>
    <row r="68" spans="1:11" x14ac:dyDescent="0.25">
      <c r="A68" s="6">
        <v>67</v>
      </c>
      <c r="B68">
        <v>17.45</v>
      </c>
      <c r="C68" s="2">
        <f>Table1[[#This Row],[Ppv(W)]]/Table1[[#This Row],[Vpv(V)]]</f>
        <v>8.9822349570200579</v>
      </c>
      <c r="D68">
        <v>156.74</v>
      </c>
      <c r="E68">
        <v>39.96</v>
      </c>
      <c r="F68">
        <v>3.18</v>
      </c>
      <c r="G68">
        <v>126.99</v>
      </c>
      <c r="H68" s="1">
        <v>58.31</v>
      </c>
      <c r="I68" s="1">
        <v>2</v>
      </c>
      <c r="J68">
        <v>186</v>
      </c>
      <c r="K68" s="3">
        <f t="shared" si="1"/>
        <v>81.019522776572657</v>
      </c>
    </row>
    <row r="69" spans="1:11" x14ac:dyDescent="0.25">
      <c r="A69" s="6">
        <v>68</v>
      </c>
      <c r="B69">
        <v>17.47</v>
      </c>
      <c r="C69" s="2">
        <f>Table1[[#This Row],[Ppv(W)]]/Table1[[#This Row],[Vpv(V)]]</f>
        <v>8.8969662278191191</v>
      </c>
      <c r="D69">
        <v>155.43</v>
      </c>
      <c r="E69">
        <v>39.96</v>
      </c>
      <c r="F69">
        <v>3.17</v>
      </c>
      <c r="G69">
        <v>126.67</v>
      </c>
      <c r="H69" s="1">
        <v>59.87</v>
      </c>
      <c r="I69" s="1">
        <v>2</v>
      </c>
      <c r="J69">
        <v>186</v>
      </c>
      <c r="K69" s="3">
        <f t="shared" si="1"/>
        <v>81.496493598404427</v>
      </c>
    </row>
    <row r="70" spans="1:11" x14ac:dyDescent="0.25">
      <c r="A70" s="6">
        <v>69</v>
      </c>
      <c r="B70">
        <v>17.52</v>
      </c>
      <c r="C70" s="2">
        <f>Table1[[#This Row],[Ppv(W)]]/Table1[[#This Row],[Vpv(V)]]</f>
        <v>8.9138127853881279</v>
      </c>
      <c r="D70">
        <v>156.16999999999999</v>
      </c>
      <c r="E70">
        <v>39.96</v>
      </c>
      <c r="F70">
        <v>3.17</v>
      </c>
      <c r="G70">
        <v>126.78</v>
      </c>
      <c r="H70" s="1">
        <v>58.31</v>
      </c>
      <c r="I70" s="1">
        <v>3</v>
      </c>
      <c r="J70">
        <v>186</v>
      </c>
      <c r="K70" s="3">
        <f t="shared" si="1"/>
        <v>81.180764551450352</v>
      </c>
    </row>
    <row r="71" spans="1:11" x14ac:dyDescent="0.25">
      <c r="A71" s="6">
        <v>70</v>
      </c>
      <c r="B71">
        <v>17.48</v>
      </c>
      <c r="C71" s="2">
        <f>Table1[[#This Row],[Ppv(W)]]/Table1[[#This Row],[Vpv(V)]]</f>
        <v>9.002860411899313</v>
      </c>
      <c r="D71">
        <v>157.37</v>
      </c>
      <c r="E71">
        <v>39.96</v>
      </c>
      <c r="F71">
        <v>3.18</v>
      </c>
      <c r="G71">
        <v>126.99</v>
      </c>
      <c r="H71" s="1">
        <v>56.74</v>
      </c>
      <c r="I71" s="1">
        <v>1</v>
      </c>
      <c r="J71">
        <v>186</v>
      </c>
      <c r="K71" s="3">
        <f t="shared" si="1"/>
        <v>80.695176971468513</v>
      </c>
    </row>
    <row r="72" spans="1:11" x14ac:dyDescent="0.25">
      <c r="A72" s="6">
        <v>71</v>
      </c>
      <c r="B72">
        <v>17.43</v>
      </c>
      <c r="C72" s="2">
        <f>Table1[[#This Row],[Ppv(W)]]/Table1[[#This Row],[Vpv(V)]]</f>
        <v>9.1049913941480209</v>
      </c>
      <c r="D72">
        <v>158.69999999999999</v>
      </c>
      <c r="E72">
        <v>39.96</v>
      </c>
      <c r="F72">
        <v>3.18</v>
      </c>
      <c r="G72">
        <v>126.99</v>
      </c>
      <c r="H72" s="1">
        <v>55.17</v>
      </c>
      <c r="I72" s="1">
        <v>1</v>
      </c>
      <c r="J72">
        <v>186</v>
      </c>
      <c r="K72" s="3">
        <f t="shared" si="1"/>
        <v>80.018903591682417</v>
      </c>
    </row>
    <row r="73" spans="1:11" x14ac:dyDescent="0.25">
      <c r="A73" s="6">
        <v>72</v>
      </c>
      <c r="B73">
        <v>17.440000000000001</v>
      </c>
      <c r="C73" s="2">
        <f>Table1[[#This Row],[Ppv(W)]]/Table1[[#This Row],[Vpv(V)]]</f>
        <v>9.0326834862385308</v>
      </c>
      <c r="D73">
        <v>157.53</v>
      </c>
      <c r="E73">
        <v>39.96</v>
      </c>
      <c r="F73">
        <v>3.16</v>
      </c>
      <c r="G73">
        <v>126.35</v>
      </c>
      <c r="H73" s="1">
        <v>53.61</v>
      </c>
      <c r="I73" s="1">
        <v>2</v>
      </c>
      <c r="J73">
        <v>186</v>
      </c>
      <c r="K73" s="3">
        <f t="shared" si="1"/>
        <v>80.206944708944334</v>
      </c>
    </row>
    <row r="74" spans="1:11" x14ac:dyDescent="0.25">
      <c r="A74" s="6">
        <v>73</v>
      </c>
      <c r="B74">
        <v>17.52</v>
      </c>
      <c r="C74" s="2">
        <f>Table1[[#This Row],[Ppv(W)]]/Table1[[#This Row],[Vpv(V)]]</f>
        <v>8.7482876712328768</v>
      </c>
      <c r="D74">
        <v>153.27000000000001</v>
      </c>
      <c r="E74">
        <v>39.96</v>
      </c>
      <c r="F74">
        <v>3.14</v>
      </c>
      <c r="G74">
        <v>125.51</v>
      </c>
      <c r="H74" s="1">
        <v>55.17</v>
      </c>
      <c r="I74" s="1">
        <v>2</v>
      </c>
      <c r="J74">
        <v>186</v>
      </c>
      <c r="K74" s="3">
        <f t="shared" si="1"/>
        <v>81.888171201148296</v>
      </c>
    </row>
    <row r="75" spans="1:11" x14ac:dyDescent="0.25">
      <c r="A75" s="6">
        <v>74</v>
      </c>
      <c r="B75">
        <v>17.579999999999998</v>
      </c>
      <c r="C75" s="2">
        <f>Table1[[#This Row],[Ppv(W)]]/Table1[[#This Row],[Vpv(V)]]</f>
        <v>8.5551763367463032</v>
      </c>
      <c r="D75">
        <v>150.4</v>
      </c>
      <c r="E75">
        <v>39.96</v>
      </c>
      <c r="F75">
        <v>3.13</v>
      </c>
      <c r="G75">
        <v>125.09</v>
      </c>
      <c r="H75" s="1">
        <v>56.74</v>
      </c>
      <c r="I75" s="1">
        <v>2</v>
      </c>
      <c r="J75">
        <v>186</v>
      </c>
      <c r="K75" s="3">
        <f t="shared" si="1"/>
        <v>83.171542553191486</v>
      </c>
    </row>
    <row r="76" spans="1:11" x14ac:dyDescent="0.25">
      <c r="A76" s="6">
        <v>75</v>
      </c>
      <c r="B76">
        <v>17.66</v>
      </c>
      <c r="C76" s="2">
        <f>Table1[[#This Row],[Ppv(W)]]/Table1[[#This Row],[Vpv(V)]]</f>
        <v>8.4733861834654576</v>
      </c>
      <c r="D76">
        <v>149.63999999999999</v>
      </c>
      <c r="E76">
        <v>39.96</v>
      </c>
      <c r="F76">
        <v>3.13</v>
      </c>
      <c r="G76">
        <v>125.19</v>
      </c>
      <c r="H76" s="1">
        <v>58.31</v>
      </c>
      <c r="I76" s="1">
        <v>2</v>
      </c>
      <c r="J76">
        <v>186</v>
      </c>
      <c r="K76" s="3">
        <f t="shared" si="1"/>
        <v>83.660785886126703</v>
      </c>
    </row>
    <row r="77" spans="1:11" x14ac:dyDescent="0.25">
      <c r="A77" s="6">
        <v>76</v>
      </c>
      <c r="B77">
        <v>17.649999999999999</v>
      </c>
      <c r="C77" s="2">
        <f>Table1[[#This Row],[Ppv(W)]]/Table1[[#This Row],[Vpv(V)]]</f>
        <v>8.630594900849859</v>
      </c>
      <c r="D77">
        <v>152.33000000000001</v>
      </c>
      <c r="E77">
        <v>39.96</v>
      </c>
      <c r="F77">
        <v>3.15</v>
      </c>
      <c r="G77">
        <v>125.83</v>
      </c>
      <c r="H77" s="1">
        <v>59.87</v>
      </c>
      <c r="I77" s="1">
        <v>1</v>
      </c>
      <c r="J77">
        <v>186</v>
      </c>
      <c r="K77" s="3">
        <f t="shared" si="1"/>
        <v>82.603558064727892</v>
      </c>
    </row>
    <row r="78" spans="1:11" x14ac:dyDescent="0.25">
      <c r="A78" s="6">
        <v>77</v>
      </c>
      <c r="B78">
        <v>17.46</v>
      </c>
      <c r="C78" s="2">
        <f>Table1[[#This Row],[Ppv(W)]]/Table1[[#This Row],[Vpv(V)]]</f>
        <v>8.9810996563573884</v>
      </c>
      <c r="D78">
        <v>156.81</v>
      </c>
      <c r="E78">
        <v>39.96</v>
      </c>
      <c r="F78">
        <v>3.18</v>
      </c>
      <c r="G78">
        <v>126.88</v>
      </c>
      <c r="H78" s="1">
        <v>59.87</v>
      </c>
      <c r="I78" s="1">
        <v>1</v>
      </c>
      <c r="J78">
        <v>186</v>
      </c>
      <c r="K78" s="3">
        <f t="shared" si="1"/>
        <v>80.913207065875895</v>
      </c>
    </row>
    <row r="79" spans="1:11" x14ac:dyDescent="0.25">
      <c r="A79" s="6">
        <v>78</v>
      </c>
      <c r="B79">
        <v>17.27</v>
      </c>
      <c r="C79" s="2">
        <f>Table1[[#This Row],[Ppv(W)]]/Table1[[#This Row],[Vpv(V)]]</f>
        <v>9.2489866821077005</v>
      </c>
      <c r="D79">
        <v>159.72999999999999</v>
      </c>
      <c r="E79">
        <v>39.96</v>
      </c>
      <c r="F79">
        <v>3.19</v>
      </c>
      <c r="G79">
        <v>127.3</v>
      </c>
      <c r="H79" s="1">
        <v>59.87</v>
      </c>
      <c r="I79" s="1">
        <v>1</v>
      </c>
      <c r="J79">
        <v>186</v>
      </c>
      <c r="K79" s="3">
        <f t="shared" si="1"/>
        <v>79.696988668377884</v>
      </c>
    </row>
    <row r="80" spans="1:11" x14ac:dyDescent="0.25">
      <c r="A80" s="6">
        <v>79</v>
      </c>
      <c r="B80">
        <v>17.190000000000001</v>
      </c>
      <c r="C80" s="2">
        <f>Table1[[#This Row],[Ppv(W)]]/Table1[[#This Row],[Vpv(V)]]</f>
        <v>9.4758580570098871</v>
      </c>
      <c r="D80">
        <v>162.88999999999999</v>
      </c>
      <c r="E80">
        <v>39.96</v>
      </c>
      <c r="F80">
        <v>3.19</v>
      </c>
      <c r="G80">
        <v>127.62</v>
      </c>
      <c r="H80" s="1">
        <v>59.87</v>
      </c>
      <c r="I80" s="1">
        <v>1</v>
      </c>
      <c r="J80">
        <v>186</v>
      </c>
      <c r="K80" s="3">
        <f t="shared" si="1"/>
        <v>78.347350973049302</v>
      </c>
    </row>
    <row r="81" spans="1:11" x14ac:dyDescent="0.25">
      <c r="A81" s="6">
        <v>80</v>
      </c>
      <c r="B81">
        <v>17.18</v>
      </c>
      <c r="C81" s="2">
        <f>Table1[[#This Row],[Ppv(W)]]/Table1[[#This Row],[Vpv(V)]]</f>
        <v>9.5739231664726425</v>
      </c>
      <c r="D81">
        <v>164.48</v>
      </c>
      <c r="E81">
        <v>39.96</v>
      </c>
      <c r="F81">
        <v>3.19</v>
      </c>
      <c r="G81">
        <v>127.62</v>
      </c>
      <c r="H81" s="1">
        <v>58.31</v>
      </c>
      <c r="I81" s="1">
        <v>1</v>
      </c>
      <c r="J81">
        <v>186</v>
      </c>
      <c r="K81" s="3">
        <f t="shared" si="1"/>
        <v>77.589980544747092</v>
      </c>
    </row>
    <row r="82" spans="1:11" x14ac:dyDescent="0.25">
      <c r="A82" s="6">
        <v>81</v>
      </c>
      <c r="B82">
        <v>17.21</v>
      </c>
      <c r="C82" s="2">
        <f>Table1[[#This Row],[Ppv(W)]]/Table1[[#This Row],[Vpv(V)]]</f>
        <v>9.5235328297501454</v>
      </c>
      <c r="D82">
        <v>163.9</v>
      </c>
      <c r="E82">
        <v>39.96</v>
      </c>
      <c r="F82">
        <v>3.19</v>
      </c>
      <c r="G82">
        <v>127.51</v>
      </c>
      <c r="H82" s="1">
        <v>56.74</v>
      </c>
      <c r="I82" s="1">
        <v>2</v>
      </c>
      <c r="J82">
        <v>186</v>
      </c>
      <c r="K82" s="3">
        <f t="shared" si="1"/>
        <v>77.797437461866991</v>
      </c>
    </row>
    <row r="83" spans="1:11" x14ac:dyDescent="0.25">
      <c r="A83" s="6">
        <v>82</v>
      </c>
      <c r="B83">
        <v>17.29</v>
      </c>
      <c r="C83" s="2">
        <f>Table1[[#This Row],[Ppv(W)]]/Table1[[#This Row],[Vpv(V)]]</f>
        <v>9.2469635627530362</v>
      </c>
      <c r="D83">
        <v>159.88</v>
      </c>
      <c r="E83">
        <v>39.96</v>
      </c>
      <c r="F83">
        <v>3.18</v>
      </c>
      <c r="G83">
        <v>126.99</v>
      </c>
      <c r="H83" s="1">
        <v>58.31</v>
      </c>
      <c r="I83" s="1">
        <v>2</v>
      </c>
      <c r="J83">
        <v>186</v>
      </c>
      <c r="K83" s="3">
        <f t="shared" si="1"/>
        <v>79.4283212409307</v>
      </c>
    </row>
    <row r="84" spans="1:11" x14ac:dyDescent="0.25">
      <c r="A84" s="6">
        <v>83</v>
      </c>
      <c r="B84">
        <v>17.36</v>
      </c>
      <c r="C84" s="2">
        <f>Table1[[#This Row],[Ppv(W)]]/Table1[[#This Row],[Vpv(V)]]</f>
        <v>9.1486175115207367</v>
      </c>
      <c r="D84">
        <v>158.82</v>
      </c>
      <c r="E84">
        <v>39.96</v>
      </c>
      <c r="F84">
        <v>3.18</v>
      </c>
      <c r="G84">
        <v>126.88</v>
      </c>
      <c r="H84" s="1">
        <v>59.87</v>
      </c>
      <c r="I84" s="1">
        <v>2</v>
      </c>
      <c r="J84">
        <v>186</v>
      </c>
      <c r="K84" s="3">
        <f t="shared" si="1"/>
        <v>79.889182722579022</v>
      </c>
    </row>
    <row r="85" spans="1:11" x14ac:dyDescent="0.25">
      <c r="A85" s="6">
        <v>84</v>
      </c>
      <c r="B85">
        <v>17.38</v>
      </c>
      <c r="C85" s="2">
        <f>Table1[[#This Row],[Ppv(W)]]/Table1[[#This Row],[Vpv(V)]]</f>
        <v>9.0638665132336023</v>
      </c>
      <c r="D85">
        <v>157.53</v>
      </c>
      <c r="E85">
        <v>39.96</v>
      </c>
      <c r="F85">
        <v>3.18</v>
      </c>
      <c r="G85">
        <v>126.99</v>
      </c>
      <c r="H85" s="1">
        <v>59.87</v>
      </c>
      <c r="I85" s="1">
        <v>2</v>
      </c>
      <c r="J85">
        <v>186</v>
      </c>
      <c r="K85" s="3">
        <f t="shared" si="1"/>
        <v>80.613216530184729</v>
      </c>
    </row>
    <row r="86" spans="1:11" x14ac:dyDescent="0.25">
      <c r="A86" s="6">
        <v>85</v>
      </c>
      <c r="B86">
        <v>17.14</v>
      </c>
      <c r="C86" s="2">
        <f>Table1[[#This Row],[Ppv(W)]]/Table1[[#This Row],[Vpv(V)]]</f>
        <v>9.2561260210035012</v>
      </c>
      <c r="D86">
        <v>158.65</v>
      </c>
      <c r="E86">
        <v>39.96</v>
      </c>
      <c r="F86">
        <v>3.19</v>
      </c>
      <c r="G86">
        <v>127.41</v>
      </c>
      <c r="H86" s="1">
        <v>59.87</v>
      </c>
      <c r="I86" s="1">
        <v>1</v>
      </c>
      <c r="J86">
        <v>186</v>
      </c>
      <c r="K86" s="3">
        <f t="shared" si="1"/>
        <v>80.308855972265988</v>
      </c>
    </row>
    <row r="87" spans="1:11" x14ac:dyDescent="0.25">
      <c r="A87" s="6">
        <v>86</v>
      </c>
      <c r="B87">
        <v>17.11</v>
      </c>
      <c r="C87" s="2">
        <f>Table1[[#This Row],[Ppv(W)]]/Table1[[#This Row],[Vpv(V)]]</f>
        <v>9.3740502630040901</v>
      </c>
      <c r="D87">
        <v>160.38999999999999</v>
      </c>
      <c r="E87">
        <v>39.96</v>
      </c>
      <c r="F87">
        <v>3.19</v>
      </c>
      <c r="G87">
        <v>127.62</v>
      </c>
      <c r="H87" s="1">
        <v>58.31</v>
      </c>
      <c r="I87" s="1">
        <v>1</v>
      </c>
      <c r="J87">
        <v>186</v>
      </c>
      <c r="K87" s="3">
        <f t="shared" si="1"/>
        <v>79.568551655340116</v>
      </c>
    </row>
    <row r="88" spans="1:11" x14ac:dyDescent="0.25">
      <c r="A88" s="6">
        <v>87</v>
      </c>
      <c r="B88">
        <v>17.02</v>
      </c>
      <c r="C88" s="2">
        <f>Table1[[#This Row],[Ppv(W)]]/Table1[[#This Row],[Vpv(V)]]</f>
        <v>9.4265569917743832</v>
      </c>
      <c r="D88">
        <v>160.44</v>
      </c>
      <c r="E88">
        <v>39.96</v>
      </c>
      <c r="F88">
        <v>3.19</v>
      </c>
      <c r="G88">
        <v>127.62</v>
      </c>
      <c r="H88" s="1">
        <v>56.74</v>
      </c>
      <c r="I88" s="1">
        <v>0</v>
      </c>
      <c r="J88">
        <v>186</v>
      </c>
      <c r="K88" s="3">
        <f t="shared" si="1"/>
        <v>79.543754674644731</v>
      </c>
    </row>
    <row r="89" spans="1:11" x14ac:dyDescent="0.25">
      <c r="A89" s="6">
        <v>88</v>
      </c>
      <c r="B89">
        <v>17.27</v>
      </c>
      <c r="C89" s="2">
        <f>Table1[[#This Row],[Ppv(W)]]/Table1[[#This Row],[Vpv(V)]]</f>
        <v>9.1893456861609728</v>
      </c>
      <c r="D89">
        <v>158.69999999999999</v>
      </c>
      <c r="E89">
        <v>39.96</v>
      </c>
      <c r="F89">
        <v>3.18</v>
      </c>
      <c r="G89">
        <v>127.2</v>
      </c>
      <c r="H89" s="1">
        <v>58.31</v>
      </c>
      <c r="I89" s="1">
        <v>2</v>
      </c>
      <c r="J89">
        <v>186</v>
      </c>
      <c r="K89" s="3">
        <f t="shared" si="1"/>
        <v>80.151228733459362</v>
      </c>
    </row>
    <row r="90" spans="1:11" x14ac:dyDescent="0.25">
      <c r="A90" s="6">
        <v>89</v>
      </c>
      <c r="B90">
        <v>17.3</v>
      </c>
      <c r="C90" s="2">
        <f>Table1[[#This Row],[Ppv(W)]]/Table1[[#This Row],[Vpv(V)]]</f>
        <v>9.0202312138728331</v>
      </c>
      <c r="D90">
        <v>156.05000000000001</v>
      </c>
      <c r="E90">
        <v>39.96</v>
      </c>
      <c r="F90">
        <v>3.18</v>
      </c>
      <c r="G90">
        <v>126.99</v>
      </c>
      <c r="H90" s="1">
        <v>59.87</v>
      </c>
      <c r="I90" s="1">
        <v>2</v>
      </c>
      <c r="J90">
        <v>186</v>
      </c>
      <c r="K90" s="3">
        <f t="shared" si="1"/>
        <v>81.37776353732778</v>
      </c>
    </row>
    <row r="91" spans="1:11" x14ac:dyDescent="0.25">
      <c r="A91" s="6">
        <v>90</v>
      </c>
      <c r="B91">
        <v>17.3</v>
      </c>
      <c r="C91" s="2">
        <f>Table1[[#This Row],[Ppv(W)]]/Table1[[#This Row],[Vpv(V)]]</f>
        <v>8.9855491329479751</v>
      </c>
      <c r="D91">
        <v>155.44999999999999</v>
      </c>
      <c r="E91">
        <v>39.96</v>
      </c>
      <c r="F91">
        <v>3.18</v>
      </c>
      <c r="G91">
        <v>126.99</v>
      </c>
      <c r="H91" s="1">
        <v>59.87</v>
      </c>
      <c r="I91" s="1">
        <v>2</v>
      </c>
      <c r="J91">
        <v>186</v>
      </c>
      <c r="K91" s="3">
        <f t="shared" si="1"/>
        <v>81.691862335156003</v>
      </c>
    </row>
    <row r="92" spans="1:11" x14ac:dyDescent="0.25">
      <c r="A92" s="6">
        <v>91</v>
      </c>
      <c r="B92">
        <v>17.34</v>
      </c>
      <c r="C92" s="2">
        <f>Table1[[#This Row],[Ppv(W)]]/Table1[[#This Row],[Vpv(V)]]</f>
        <v>9.0991926182237606</v>
      </c>
      <c r="D92">
        <v>157.78</v>
      </c>
      <c r="E92">
        <v>39.96</v>
      </c>
      <c r="F92">
        <v>3.19</v>
      </c>
      <c r="G92">
        <v>127.3</v>
      </c>
      <c r="H92" s="1">
        <v>58.31</v>
      </c>
      <c r="I92" s="1">
        <v>1</v>
      </c>
      <c r="J92">
        <v>186</v>
      </c>
      <c r="K92" s="3">
        <f t="shared" si="1"/>
        <v>80.681962225884135</v>
      </c>
    </row>
    <row r="93" spans="1:11" x14ac:dyDescent="0.25">
      <c r="A93" s="6">
        <v>92</v>
      </c>
      <c r="B93">
        <v>17.3</v>
      </c>
      <c r="C93" s="2">
        <f>Table1[[#This Row],[Ppv(W)]]/Table1[[#This Row],[Vpv(V)]]</f>
        <v>9.2612716763005771</v>
      </c>
      <c r="D93">
        <v>160.22</v>
      </c>
      <c r="E93">
        <v>39.96</v>
      </c>
      <c r="F93">
        <v>3.19</v>
      </c>
      <c r="G93">
        <v>127.51</v>
      </c>
      <c r="H93" s="1">
        <v>56.74</v>
      </c>
      <c r="I93" s="1">
        <v>1</v>
      </c>
      <c r="J93">
        <v>186</v>
      </c>
      <c r="K93" s="3">
        <f t="shared" si="1"/>
        <v>79.584321557857947</v>
      </c>
    </row>
    <row r="94" spans="1:11" x14ac:dyDescent="0.25">
      <c r="A94" s="6">
        <v>93</v>
      </c>
      <c r="B94">
        <v>17.45</v>
      </c>
      <c r="C94" s="2">
        <f>Table1[[#This Row],[Ppv(W)]]/Table1[[#This Row],[Vpv(V)]]</f>
        <v>9.0618911174785097</v>
      </c>
      <c r="D94">
        <v>158.13</v>
      </c>
      <c r="E94">
        <v>39.96</v>
      </c>
      <c r="F94">
        <v>3.18</v>
      </c>
      <c r="G94">
        <v>126.88</v>
      </c>
      <c r="H94" s="1">
        <v>58.31</v>
      </c>
      <c r="I94" s="1">
        <v>2</v>
      </c>
      <c r="J94">
        <v>186</v>
      </c>
      <c r="K94" s="3">
        <f t="shared" si="1"/>
        <v>80.237779042559922</v>
      </c>
    </row>
    <row r="95" spans="1:11" x14ac:dyDescent="0.25">
      <c r="A95" s="6">
        <v>94</v>
      </c>
      <c r="B95">
        <v>17.440000000000001</v>
      </c>
      <c r="C95" s="2">
        <f>Table1[[#This Row],[Ppv(W)]]/Table1[[#This Row],[Vpv(V)]]</f>
        <v>9.0550458715596314</v>
      </c>
      <c r="D95">
        <v>157.91999999999999</v>
      </c>
      <c r="E95">
        <v>39.96</v>
      </c>
      <c r="F95">
        <v>3.17</v>
      </c>
      <c r="G95">
        <v>126.78</v>
      </c>
      <c r="H95" s="1">
        <v>59.87</v>
      </c>
      <c r="I95" s="1">
        <v>0</v>
      </c>
      <c r="J95">
        <v>186</v>
      </c>
      <c r="K95" s="3">
        <f t="shared" si="1"/>
        <v>80.281155015197584</v>
      </c>
    </row>
    <row r="96" spans="1:11" x14ac:dyDescent="0.25">
      <c r="A96" s="6">
        <v>95</v>
      </c>
      <c r="B96">
        <v>17.48</v>
      </c>
      <c r="C96" s="2">
        <f>Table1[[#This Row],[Ppv(W)]]/Table1[[#This Row],[Vpv(V)]]</f>
        <v>8.9324942791762005</v>
      </c>
      <c r="D96">
        <v>156.13999999999999</v>
      </c>
      <c r="E96">
        <v>39.96</v>
      </c>
      <c r="F96">
        <v>3.17</v>
      </c>
      <c r="G96">
        <v>126.78</v>
      </c>
      <c r="H96" s="1">
        <v>59.87</v>
      </c>
      <c r="I96" s="1">
        <v>2</v>
      </c>
      <c r="J96">
        <v>186</v>
      </c>
      <c r="K96" s="3">
        <f t="shared" si="1"/>
        <v>81.196362239016267</v>
      </c>
    </row>
    <row r="97" spans="1:11" x14ac:dyDescent="0.25">
      <c r="A97" s="6">
        <v>96</v>
      </c>
      <c r="B97">
        <v>17.32</v>
      </c>
      <c r="C97" s="2">
        <f>Table1[[#This Row],[Ppv(W)]]/Table1[[#This Row],[Vpv(V)]]</f>
        <v>9.1628175519630481</v>
      </c>
      <c r="D97">
        <v>158.69999999999999</v>
      </c>
      <c r="E97">
        <v>39.96</v>
      </c>
      <c r="F97">
        <v>3.19</v>
      </c>
      <c r="G97">
        <v>127.41</v>
      </c>
      <c r="H97" s="1">
        <v>59.87</v>
      </c>
      <c r="I97" s="1">
        <v>1</v>
      </c>
      <c r="J97">
        <v>186</v>
      </c>
      <c r="K97" s="3">
        <f t="shared" si="1"/>
        <v>80.283553875236308</v>
      </c>
    </row>
    <row r="98" spans="1:11" x14ac:dyDescent="0.25">
      <c r="A98" s="6">
        <v>97</v>
      </c>
      <c r="B98">
        <v>17.22</v>
      </c>
      <c r="C98" s="2">
        <f>Table1[[#This Row],[Ppv(W)]]/Table1[[#This Row],[Vpv(V)]]</f>
        <v>9.1852497096399528</v>
      </c>
      <c r="D98">
        <v>158.16999999999999</v>
      </c>
      <c r="E98">
        <v>39.96</v>
      </c>
      <c r="F98">
        <v>3.19</v>
      </c>
      <c r="G98">
        <v>127.62</v>
      </c>
      <c r="H98" s="1">
        <v>58.31</v>
      </c>
      <c r="I98" s="1">
        <v>2</v>
      </c>
      <c r="J98">
        <v>186</v>
      </c>
      <c r="K98" s="3">
        <f t="shared" si="1"/>
        <v>80.685338559777463</v>
      </c>
    </row>
    <row r="99" spans="1:11" x14ac:dyDescent="0.25">
      <c r="A99" s="6">
        <v>98</v>
      </c>
      <c r="B99">
        <v>17.28</v>
      </c>
      <c r="C99" s="2">
        <f>Table1[[#This Row],[Ppv(W)]]/Table1[[#This Row],[Vpv(V)]]</f>
        <v>9.0787037037037024</v>
      </c>
      <c r="D99">
        <v>156.88</v>
      </c>
      <c r="E99">
        <v>39.96</v>
      </c>
      <c r="F99">
        <v>3.19</v>
      </c>
      <c r="G99">
        <v>127.3</v>
      </c>
      <c r="H99" s="1">
        <v>59.87</v>
      </c>
      <c r="I99" s="1">
        <v>2</v>
      </c>
      <c r="J99">
        <v>186</v>
      </c>
      <c r="K99" s="3">
        <f t="shared" si="1"/>
        <v>81.144824069352367</v>
      </c>
    </row>
    <row r="100" spans="1:11" x14ac:dyDescent="0.25">
      <c r="A100" s="6">
        <v>99</v>
      </c>
      <c r="B100">
        <v>17.239999999999998</v>
      </c>
      <c r="C100" s="2">
        <f>Table1[[#This Row],[Ppv(W)]]/Table1[[#This Row],[Vpv(V)]]</f>
        <v>9.1409512761020899</v>
      </c>
      <c r="D100">
        <v>157.59</v>
      </c>
      <c r="E100">
        <v>39.96</v>
      </c>
      <c r="F100">
        <v>3.19</v>
      </c>
      <c r="G100">
        <v>127.3</v>
      </c>
      <c r="H100" s="1">
        <v>59.87</v>
      </c>
      <c r="I100" s="1">
        <v>1</v>
      </c>
      <c r="J100">
        <v>186</v>
      </c>
      <c r="K100" s="3">
        <f t="shared" si="1"/>
        <v>80.779237261247545</v>
      </c>
    </row>
    <row r="101" spans="1:11" x14ac:dyDescent="0.25">
      <c r="A101" s="6">
        <v>100</v>
      </c>
      <c r="B101">
        <v>17.34</v>
      </c>
      <c r="C101" s="2">
        <f>Table1[[#This Row],[Ppv(W)]]/Table1[[#This Row],[Vpv(V)]]</f>
        <v>9.1164936562860444</v>
      </c>
      <c r="D101">
        <v>158.08000000000001</v>
      </c>
      <c r="E101">
        <v>39.96</v>
      </c>
      <c r="F101">
        <v>3.19</v>
      </c>
      <c r="G101">
        <v>127.3</v>
      </c>
      <c r="H101" s="1">
        <v>58.31</v>
      </c>
      <c r="I101" s="1">
        <v>0</v>
      </c>
      <c r="J101">
        <v>191</v>
      </c>
      <c r="K101" s="3">
        <f t="shared" si="1"/>
        <v>80.528846153846146</v>
      </c>
    </row>
    <row r="102" spans="1:11" x14ac:dyDescent="0.25">
      <c r="A102" s="6">
        <v>101</v>
      </c>
      <c r="B102">
        <v>17.36</v>
      </c>
      <c r="C102" s="2">
        <f>Table1[[#This Row],[Ppv(W)]]/Table1[[#This Row],[Vpv(V)]]</f>
        <v>9.1382488479262669</v>
      </c>
      <c r="D102">
        <v>158.63999999999999</v>
      </c>
      <c r="E102">
        <v>39.96</v>
      </c>
      <c r="F102">
        <v>3.18</v>
      </c>
      <c r="G102">
        <v>127.2</v>
      </c>
      <c r="H102" s="1">
        <v>56.74</v>
      </c>
      <c r="I102" s="1">
        <v>1</v>
      </c>
      <c r="J102">
        <v>191</v>
      </c>
      <c r="K102" s="3">
        <f t="shared" si="1"/>
        <v>80.181543116490175</v>
      </c>
    </row>
    <row r="103" spans="1:11" x14ac:dyDescent="0.25">
      <c r="A103" s="6">
        <v>102</v>
      </c>
      <c r="B103">
        <v>17.440000000000001</v>
      </c>
      <c r="C103" s="2">
        <f>Table1[[#This Row],[Ppv(W)]]/Table1[[#This Row],[Vpv(V)]]</f>
        <v>8.9753440366972477</v>
      </c>
      <c r="D103">
        <v>156.53</v>
      </c>
      <c r="E103">
        <v>39.96</v>
      </c>
      <c r="F103">
        <v>3.17</v>
      </c>
      <c r="G103">
        <v>126.78</v>
      </c>
      <c r="H103" s="1">
        <v>58.31</v>
      </c>
      <c r="I103" s="1">
        <v>2</v>
      </c>
      <c r="J103">
        <v>191</v>
      </c>
      <c r="K103" s="3">
        <f t="shared" si="1"/>
        <v>80.994058646904747</v>
      </c>
    </row>
    <row r="104" spans="1:11" x14ac:dyDescent="0.25">
      <c r="A104" s="6">
        <v>103</v>
      </c>
      <c r="B104">
        <v>17.420000000000002</v>
      </c>
      <c r="C104" s="2">
        <f>Table1[[#This Row],[Ppv(W)]]/Table1[[#This Row],[Vpv(V)]]</f>
        <v>8.8800229621125126</v>
      </c>
      <c r="D104">
        <v>154.69</v>
      </c>
      <c r="E104">
        <v>39.96</v>
      </c>
      <c r="F104">
        <v>3.17</v>
      </c>
      <c r="G104">
        <v>126.67</v>
      </c>
      <c r="H104" s="1">
        <v>59.87</v>
      </c>
      <c r="I104" s="1">
        <v>2</v>
      </c>
      <c r="J104">
        <v>191</v>
      </c>
      <c r="K104" s="3">
        <f t="shared" si="1"/>
        <v>81.886353351865026</v>
      </c>
    </row>
    <row r="105" spans="1:11" x14ac:dyDescent="0.25">
      <c r="A105" s="6">
        <v>104</v>
      </c>
      <c r="B105">
        <v>17.36</v>
      </c>
      <c r="C105" s="2">
        <f>Table1[[#This Row],[Ppv(W)]]/Table1[[#This Row],[Vpv(V)]]</f>
        <v>9.1117511520737331</v>
      </c>
      <c r="D105">
        <v>158.18</v>
      </c>
      <c r="E105">
        <v>39.96</v>
      </c>
      <c r="F105">
        <v>3.18</v>
      </c>
      <c r="G105">
        <v>126.99</v>
      </c>
      <c r="H105" s="1">
        <v>59.87</v>
      </c>
      <c r="I105" s="1">
        <v>1</v>
      </c>
      <c r="J105">
        <v>191</v>
      </c>
      <c r="K105" s="3">
        <f t="shared" si="1"/>
        <v>80.281957263876592</v>
      </c>
    </row>
    <row r="106" spans="1:11" x14ac:dyDescent="0.25">
      <c r="A106" s="6">
        <v>105</v>
      </c>
      <c r="B106">
        <v>17.3</v>
      </c>
      <c r="C106" s="2">
        <f>Table1[[#This Row],[Ppv(W)]]/Table1[[#This Row],[Vpv(V)]]</f>
        <v>9.2352601156069358</v>
      </c>
      <c r="D106">
        <v>159.77000000000001</v>
      </c>
      <c r="E106">
        <v>39.96</v>
      </c>
      <c r="F106">
        <v>3.18</v>
      </c>
      <c r="G106">
        <v>127.2</v>
      </c>
      <c r="H106" s="1">
        <v>59.87</v>
      </c>
      <c r="I106" s="1">
        <v>1</v>
      </c>
      <c r="J106">
        <v>191</v>
      </c>
      <c r="K106" s="3">
        <f t="shared" si="1"/>
        <v>79.614445765788318</v>
      </c>
    </row>
    <row r="107" spans="1:11" x14ac:dyDescent="0.25">
      <c r="A107" s="6">
        <v>106</v>
      </c>
      <c r="B107">
        <v>17.239999999999998</v>
      </c>
      <c r="C107" s="2">
        <f>Table1[[#This Row],[Ppv(W)]]/Table1[[#This Row],[Vpv(V)]]</f>
        <v>9.5121809744779604</v>
      </c>
      <c r="D107">
        <v>163.99</v>
      </c>
      <c r="E107">
        <v>39.96</v>
      </c>
      <c r="F107">
        <v>3.19</v>
      </c>
      <c r="G107">
        <v>127.62</v>
      </c>
      <c r="H107" s="1">
        <v>59.87</v>
      </c>
      <c r="I107" s="1">
        <v>1</v>
      </c>
      <c r="J107">
        <v>191</v>
      </c>
      <c r="K107" s="3">
        <f t="shared" si="1"/>
        <v>77.821818403561196</v>
      </c>
    </row>
    <row r="108" spans="1:11" x14ac:dyDescent="0.25">
      <c r="A108" s="6">
        <v>107</v>
      </c>
      <c r="B108">
        <v>17.29</v>
      </c>
      <c r="C108" s="2">
        <f>Table1[[#This Row],[Ppv(W)]]/Table1[[#This Row],[Vpv(V)]]</f>
        <v>9.4887218045112789</v>
      </c>
      <c r="D108">
        <v>164.06</v>
      </c>
      <c r="E108">
        <v>39.96</v>
      </c>
      <c r="F108">
        <v>3.19</v>
      </c>
      <c r="G108">
        <v>127.62</v>
      </c>
      <c r="H108" s="1">
        <v>58.31</v>
      </c>
      <c r="I108" s="1">
        <v>0</v>
      </c>
      <c r="J108">
        <v>191</v>
      </c>
      <c r="K108" s="3">
        <f t="shared" si="1"/>
        <v>77.788613921735944</v>
      </c>
    </row>
    <row r="109" spans="1:11" x14ac:dyDescent="0.25">
      <c r="A109" s="6">
        <v>108</v>
      </c>
      <c r="B109">
        <v>17.28</v>
      </c>
      <c r="C109" s="2">
        <f>Table1[[#This Row],[Ppv(W)]]/Table1[[#This Row],[Vpv(V)]]</f>
        <v>9.2714120370370363</v>
      </c>
      <c r="D109">
        <v>160.21</v>
      </c>
      <c r="E109">
        <v>39.96</v>
      </c>
      <c r="F109">
        <v>3.19</v>
      </c>
      <c r="G109">
        <v>127.41</v>
      </c>
      <c r="H109" s="1">
        <v>56.74</v>
      </c>
      <c r="I109" s="1">
        <v>2</v>
      </c>
      <c r="J109">
        <v>191</v>
      </c>
      <c r="K109" s="3">
        <f t="shared" si="1"/>
        <v>79.526870981836325</v>
      </c>
    </row>
    <row r="110" spans="1:11" x14ac:dyDescent="0.25">
      <c r="A110" s="6">
        <v>109</v>
      </c>
      <c r="B110">
        <v>17.43</v>
      </c>
      <c r="C110" s="2">
        <f>Table1[[#This Row],[Ppv(W)]]/Table1[[#This Row],[Vpv(V)]]</f>
        <v>8.8531267928858295</v>
      </c>
      <c r="D110">
        <v>154.31</v>
      </c>
      <c r="E110">
        <v>39.96</v>
      </c>
      <c r="F110">
        <v>3.17</v>
      </c>
      <c r="G110">
        <v>126.67</v>
      </c>
      <c r="H110" s="1">
        <v>58.31</v>
      </c>
      <c r="I110" s="1">
        <v>2</v>
      </c>
      <c r="J110">
        <v>191</v>
      </c>
      <c r="K110" s="3">
        <f t="shared" si="1"/>
        <v>82.088004665932218</v>
      </c>
    </row>
    <row r="111" spans="1:11" x14ac:dyDescent="0.25">
      <c r="A111" s="6">
        <v>110</v>
      </c>
      <c r="B111">
        <v>17.45</v>
      </c>
      <c r="C111" s="2">
        <f>Table1[[#This Row],[Ppv(W)]]/Table1[[#This Row],[Vpv(V)]]</f>
        <v>8.9117478510028647</v>
      </c>
      <c r="D111">
        <v>155.51</v>
      </c>
      <c r="E111">
        <v>39.96</v>
      </c>
      <c r="F111">
        <v>3.16</v>
      </c>
      <c r="G111">
        <v>126.46</v>
      </c>
      <c r="H111" s="1">
        <v>59.87</v>
      </c>
      <c r="I111" s="1">
        <v>1</v>
      </c>
      <c r="J111">
        <v>191</v>
      </c>
      <c r="K111" s="3">
        <f t="shared" si="1"/>
        <v>81.319529290720865</v>
      </c>
    </row>
    <row r="112" spans="1:11" x14ac:dyDescent="0.25">
      <c r="A112" s="6">
        <v>111</v>
      </c>
      <c r="B112">
        <v>17.38</v>
      </c>
      <c r="C112" s="2">
        <f>Table1[[#This Row],[Ppv(W)]]/Table1[[#This Row],[Vpv(V)]]</f>
        <v>9.0696202531645564</v>
      </c>
      <c r="D112">
        <v>157.63</v>
      </c>
      <c r="E112">
        <v>39.96</v>
      </c>
      <c r="F112">
        <v>3.17</v>
      </c>
      <c r="G112">
        <v>126.67</v>
      </c>
      <c r="H112" s="1">
        <v>59.87</v>
      </c>
      <c r="I112" s="1">
        <v>1</v>
      </c>
      <c r="J112">
        <v>191</v>
      </c>
      <c r="K112" s="3">
        <f t="shared" si="1"/>
        <v>80.35906870519571</v>
      </c>
    </row>
    <row r="113" spans="1:11" x14ac:dyDescent="0.25">
      <c r="A113" s="6">
        <v>112</v>
      </c>
      <c r="B113">
        <v>17.34</v>
      </c>
      <c r="C113" s="2">
        <f>Table1[[#This Row],[Ppv(W)]]/Table1[[#This Row],[Vpv(V)]]</f>
        <v>9.2970011534025385</v>
      </c>
      <c r="D113">
        <v>161.21</v>
      </c>
      <c r="E113">
        <v>39.96</v>
      </c>
      <c r="F113">
        <v>3.19</v>
      </c>
      <c r="G113">
        <v>127.3</v>
      </c>
      <c r="H113" s="1">
        <v>58.31</v>
      </c>
      <c r="I113" s="1">
        <v>1</v>
      </c>
      <c r="J113">
        <v>191</v>
      </c>
      <c r="K113" s="3">
        <f t="shared" si="1"/>
        <v>78.965324731716393</v>
      </c>
    </row>
    <row r="114" spans="1:11" x14ac:dyDescent="0.25">
      <c r="A114" s="6">
        <v>113</v>
      </c>
      <c r="B114">
        <v>17.3</v>
      </c>
      <c r="C114" s="2">
        <f>Table1[[#This Row],[Ppv(W)]]/Table1[[#This Row],[Vpv(V)]]</f>
        <v>9.1878612716762991</v>
      </c>
      <c r="D114">
        <v>158.94999999999999</v>
      </c>
      <c r="E114">
        <v>39.96</v>
      </c>
      <c r="F114">
        <v>3.19</v>
      </c>
      <c r="G114">
        <v>127.3</v>
      </c>
      <c r="H114" s="1">
        <v>56.74</v>
      </c>
      <c r="I114" s="1">
        <v>2</v>
      </c>
      <c r="J114">
        <v>191</v>
      </c>
      <c r="K114" s="3">
        <f t="shared" si="1"/>
        <v>80.088078011953442</v>
      </c>
    </row>
    <row r="115" spans="1:11" x14ac:dyDescent="0.25">
      <c r="A115" s="6">
        <v>114</v>
      </c>
      <c r="B115">
        <v>17.36</v>
      </c>
      <c r="C115" s="2">
        <f>Table1[[#This Row],[Ppv(W)]]/Table1[[#This Row],[Vpv(V)]]</f>
        <v>9.0760368663594466</v>
      </c>
      <c r="D115">
        <v>157.56</v>
      </c>
      <c r="E115">
        <v>39.96</v>
      </c>
      <c r="F115">
        <v>3.18</v>
      </c>
      <c r="G115">
        <v>126.99</v>
      </c>
      <c r="H115" s="1">
        <v>58.31</v>
      </c>
      <c r="I115" s="1">
        <v>2</v>
      </c>
      <c r="J115">
        <v>191</v>
      </c>
      <c r="K115" s="3">
        <f t="shared" si="1"/>
        <v>80.597867479055594</v>
      </c>
    </row>
    <row r="116" spans="1:11" x14ac:dyDescent="0.25">
      <c r="A116" s="6">
        <v>115</v>
      </c>
      <c r="B116">
        <v>17.34</v>
      </c>
      <c r="C116" s="2">
        <f>Table1[[#This Row],[Ppv(W)]]/Table1[[#This Row],[Vpv(V)]]</f>
        <v>9.0565167243367934</v>
      </c>
      <c r="D116">
        <v>157.04</v>
      </c>
      <c r="E116">
        <v>39.96</v>
      </c>
      <c r="F116">
        <v>3.18</v>
      </c>
      <c r="G116">
        <v>126.99</v>
      </c>
      <c r="H116" s="1">
        <v>59.87</v>
      </c>
      <c r="I116" s="1">
        <v>2</v>
      </c>
      <c r="J116">
        <v>191</v>
      </c>
      <c r="K116" s="3">
        <f t="shared" si="1"/>
        <v>80.864747834946513</v>
      </c>
    </row>
    <row r="117" spans="1:11" x14ac:dyDescent="0.25">
      <c r="A117" s="6">
        <v>116</v>
      </c>
      <c r="B117">
        <v>17.25</v>
      </c>
      <c r="C117" s="2">
        <f>Table1[[#This Row],[Ppv(W)]]/Table1[[#This Row],[Vpv(V)]]</f>
        <v>9.2817391304347829</v>
      </c>
      <c r="D117">
        <v>160.11000000000001</v>
      </c>
      <c r="E117">
        <v>39.96</v>
      </c>
      <c r="F117">
        <v>3.18</v>
      </c>
      <c r="G117">
        <v>127.2</v>
      </c>
      <c r="H117" s="1">
        <v>59.87</v>
      </c>
      <c r="I117" s="1">
        <v>1</v>
      </c>
      <c r="J117">
        <v>191</v>
      </c>
      <c r="K117" s="3">
        <f t="shared" si="1"/>
        <v>79.445381300356004</v>
      </c>
    </row>
    <row r="118" spans="1:11" x14ac:dyDescent="0.25">
      <c r="A118" s="6">
        <v>117</v>
      </c>
      <c r="B118">
        <v>17.23</v>
      </c>
      <c r="C118" s="2">
        <f>Table1[[#This Row],[Ppv(W)]]/Table1[[#This Row],[Vpv(V)]]</f>
        <v>9.4056877539175847</v>
      </c>
      <c r="D118">
        <v>162.06</v>
      </c>
      <c r="E118">
        <v>39.96</v>
      </c>
      <c r="F118">
        <v>3.19</v>
      </c>
      <c r="G118">
        <v>127.62</v>
      </c>
      <c r="H118" s="1">
        <v>58.31</v>
      </c>
      <c r="I118" s="1">
        <v>1</v>
      </c>
      <c r="J118">
        <v>191</v>
      </c>
      <c r="K118" s="3">
        <f t="shared" si="1"/>
        <v>78.74861162532396</v>
      </c>
    </row>
    <row r="119" spans="1:11" x14ac:dyDescent="0.25">
      <c r="A119" s="7">
        <v>118</v>
      </c>
      <c r="B119">
        <v>17.23</v>
      </c>
      <c r="C119" s="2">
        <f>Table1[[#This Row],[Ppv(W)]]/Table1[[#This Row],[Vpv(V)]]</f>
        <v>9.2780034822983168</v>
      </c>
      <c r="D119">
        <v>159.86000000000001</v>
      </c>
      <c r="E119">
        <v>39.96</v>
      </c>
      <c r="F119">
        <v>3.19</v>
      </c>
      <c r="G119">
        <v>127.41</v>
      </c>
      <c r="H119" s="1">
        <v>56.74</v>
      </c>
      <c r="I119" s="1">
        <v>2</v>
      </c>
      <c r="J119">
        <v>191</v>
      </c>
      <c r="K119" s="3">
        <f t="shared" si="1"/>
        <v>79.70098836481921</v>
      </c>
    </row>
    <row r="120" spans="1:11" x14ac:dyDescent="0.25">
      <c r="A120" s="7">
        <v>119</v>
      </c>
      <c r="B120">
        <v>17.36</v>
      </c>
      <c r="C120" s="2">
        <f>Table1[[#This Row],[Ppv(W)]]/Table1[[#This Row],[Vpv(V)]]</f>
        <v>9.0985023041474644</v>
      </c>
      <c r="D120">
        <v>157.94999999999999</v>
      </c>
      <c r="E120">
        <v>39.96</v>
      </c>
      <c r="F120">
        <v>3.17</v>
      </c>
      <c r="G120">
        <v>126.78</v>
      </c>
      <c r="H120" s="1">
        <v>58.31</v>
      </c>
      <c r="I120" s="1">
        <v>2</v>
      </c>
      <c r="J120">
        <v>191</v>
      </c>
      <c r="K120" s="3">
        <f t="shared" si="1"/>
        <v>80.2659069325736</v>
      </c>
    </row>
    <row r="121" spans="1:11" x14ac:dyDescent="0.25">
      <c r="A121" s="7">
        <v>120</v>
      </c>
      <c r="B121">
        <v>17.41</v>
      </c>
      <c r="C121" s="2">
        <f>Table1[[#This Row],[Ppv(W)]]/Table1[[#This Row],[Vpv(V)]]</f>
        <v>8.9977024698449171</v>
      </c>
      <c r="D121">
        <v>156.65</v>
      </c>
      <c r="E121">
        <v>39.96</v>
      </c>
      <c r="F121">
        <v>3.16</v>
      </c>
      <c r="G121">
        <v>126.46</v>
      </c>
      <c r="H121" s="1">
        <v>59.87</v>
      </c>
      <c r="I121" s="1">
        <v>2</v>
      </c>
      <c r="J121">
        <v>191</v>
      </c>
      <c r="K121" s="3">
        <f t="shared" si="1"/>
        <v>80.727736993297157</v>
      </c>
    </row>
    <row r="122" spans="1:11" x14ac:dyDescent="0.25">
      <c r="A122" s="7">
        <v>121</v>
      </c>
      <c r="B122">
        <v>17.5</v>
      </c>
      <c r="C122" s="2">
        <f>Table1[[#This Row],[Ppv(W)]]/Table1[[#This Row],[Vpv(V)]]</f>
        <v>8.9491428571428582</v>
      </c>
      <c r="D122">
        <v>156.61000000000001</v>
      </c>
      <c r="E122">
        <v>39.96</v>
      </c>
      <c r="F122">
        <v>3.17</v>
      </c>
      <c r="G122">
        <v>126.57</v>
      </c>
      <c r="H122" s="1">
        <v>59.87</v>
      </c>
      <c r="I122" s="1">
        <v>0</v>
      </c>
      <c r="J122">
        <v>191</v>
      </c>
      <c r="K122" s="3">
        <f t="shared" si="1"/>
        <v>80.818593959517258</v>
      </c>
    </row>
    <row r="123" spans="1:11" x14ac:dyDescent="0.25">
      <c r="A123" s="7">
        <v>122</v>
      </c>
      <c r="B123">
        <v>17.38</v>
      </c>
      <c r="C123" s="2">
        <f>Table1[[#This Row],[Ppv(W)]]/Table1[[#This Row],[Vpv(V)]]</f>
        <v>9.0489067894131203</v>
      </c>
      <c r="D123">
        <v>157.27000000000001</v>
      </c>
      <c r="E123">
        <v>39.96</v>
      </c>
      <c r="F123">
        <v>3.18</v>
      </c>
      <c r="G123">
        <v>127.09</v>
      </c>
      <c r="H123" s="1">
        <v>59.87</v>
      </c>
      <c r="I123" s="1">
        <v>1</v>
      </c>
      <c r="J123">
        <v>191</v>
      </c>
      <c r="K123" s="3">
        <f t="shared" si="1"/>
        <v>80.810071850956959</v>
      </c>
    </row>
    <row r="124" spans="1:11" x14ac:dyDescent="0.25">
      <c r="A124" s="7">
        <v>123</v>
      </c>
      <c r="B124">
        <v>17.27</v>
      </c>
      <c r="C124" s="2">
        <f>Table1[[#This Row],[Ppv(W)]]/Table1[[#This Row],[Vpv(V)]]</f>
        <v>9.2651997683844822</v>
      </c>
      <c r="D124">
        <v>160.01</v>
      </c>
      <c r="E124">
        <v>39.96</v>
      </c>
      <c r="F124">
        <v>3.19</v>
      </c>
      <c r="G124">
        <v>127.51</v>
      </c>
      <c r="H124" s="1">
        <v>59.87</v>
      </c>
      <c r="I124" s="1">
        <v>1</v>
      </c>
      <c r="J124">
        <v>191</v>
      </c>
      <c r="K124" s="3">
        <f t="shared" si="1"/>
        <v>79.688769451909252</v>
      </c>
    </row>
    <row r="125" spans="1:11" x14ac:dyDescent="0.25">
      <c r="A125" s="7">
        <v>124</v>
      </c>
      <c r="B125">
        <v>17.25</v>
      </c>
      <c r="C125" s="2">
        <f>Table1[[#This Row],[Ppv(W)]]/Table1[[#This Row],[Vpv(V)]]</f>
        <v>9.3542028985507262</v>
      </c>
      <c r="D125">
        <v>161.36000000000001</v>
      </c>
      <c r="E125">
        <v>39.96</v>
      </c>
      <c r="F125">
        <v>3.19</v>
      </c>
      <c r="G125">
        <v>127.62</v>
      </c>
      <c r="H125" s="1">
        <v>58.31</v>
      </c>
      <c r="I125" s="1">
        <v>1</v>
      </c>
      <c r="J125">
        <v>191</v>
      </c>
      <c r="K125" s="3">
        <f t="shared" si="1"/>
        <v>79.090233019335642</v>
      </c>
    </row>
  </sheetData>
  <conditionalFormatting sqref="K2:K1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25">
    <cfRule type="iconSet" priority="3">
      <iconSet iconSet="3TrafficLights2">
        <cfvo type="percent" val="0"/>
        <cfvo type="percent" val="33"/>
        <cfvo type="percent" val="67"/>
      </iconSet>
    </cfRule>
    <cfRule type="cellIs" dxfId="1" priority="4" operator="greaterThan">
      <formula>0</formula>
    </cfRule>
  </conditionalFormatting>
  <conditionalFormatting sqref="I2:I12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{C9A90F06-50B0-44FE-AE0D-897CD21F16B3}</x14:id>
        </ext>
      </extLst>
    </cfRule>
  </conditionalFormatting>
  <conditionalFormatting sqref="H2:H125">
    <cfRule type="dataBar" priority="1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{7029E118-EE35-4854-A94F-1CEC4B568EB8}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A90F06-50B0-44FE-AE0D-897CD21F16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I2:I125</xm:sqref>
        </x14:conditionalFormatting>
        <x14:conditionalFormatting xmlns:xm="http://schemas.microsoft.com/office/excel/2006/main">
          <x14:cfRule type="dataBar" id="{7029E118-EE35-4854-A94F-1CEC4B568EB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H2:H125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Codreanu</cp:lastModifiedBy>
  <dcterms:created xsi:type="dcterms:W3CDTF">2026-04-24T18:56:05Z</dcterms:created>
  <dcterms:modified xsi:type="dcterms:W3CDTF">2026-04-24T20:16:05Z</dcterms:modified>
</cp:coreProperties>
</file>