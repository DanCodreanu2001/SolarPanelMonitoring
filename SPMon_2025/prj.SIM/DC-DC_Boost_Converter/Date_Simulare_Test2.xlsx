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arPanelMonitorControl_SPMonCtrl\SolarPanelMonitorControl_SPMonCtrl\prj.SPMonCtrl.Proteus\DC-DC_Boost_Converter\"/>
    </mc:Choice>
  </mc:AlternateContent>
  <xr:revisionPtr revIDLastSave="0" documentId="13_ncr:1_{7EDE751C-34D8-48A2-81D7-1BF9B92FC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</calcChain>
</file>

<file path=xl/sharedStrings.xml><?xml version="1.0" encoding="utf-8"?>
<sst xmlns="http://schemas.openxmlformats.org/spreadsheetml/2006/main" count="13" uniqueCount="13">
  <si>
    <t>Vpv(V)</t>
  </si>
  <si>
    <t>Ppv(W)</t>
  </si>
  <si>
    <t>Vout(V)</t>
  </si>
  <si>
    <t>Iout(A)</t>
  </si>
  <si>
    <t>Pout(W)</t>
  </si>
  <si>
    <t>D_val</t>
  </si>
  <si>
    <t>State</t>
  </si>
  <si>
    <t>MPP_D_val</t>
  </si>
  <si>
    <t>dt(s)</t>
  </si>
  <si>
    <t>η(%)</t>
  </si>
  <si>
    <t>Ipv(A)</t>
  </si>
  <si>
    <t>State Graph</t>
  </si>
  <si>
    <t>EFICENTA MEDIE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</si>
</sst>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3" fillId="2" borderId="1" xfId="1"/>
    <xf numFmtId="0" fontId="3" fillId="2" borderId="1" xfId="1" applyAlignment="1">
      <alignment horizontal="center" vertical="top"/>
    </xf>
    <xf numFmtId="0" fontId="1" fillId="0" borderId="0" xfId="0" applyFont="1" applyAlignment="1">
      <alignment horizontal="right"/>
    </xf>
    <xf numFmtId="0" fontId="1" fillId="3" borderId="2" xfId="2" applyFont="1"/>
    <xf numFmtId="2" fontId="4" fillId="0" borderId="0" xfId="0" applyNumberFormat="1" applyFont="1" applyAlignment="1">
      <alignment horizontal="center"/>
    </xf>
  </cellXfs>
  <cellStyles count="3">
    <cellStyle name="Check Cell" xfId="1" builtinId="23"/>
    <cellStyle name="Normal" xfId="0" builtinId="0"/>
    <cellStyle name="Note" xfId="2" builtinId="10"/>
  </cellStyles>
  <dxfs count="10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</font>
      <numFmt numFmtId="2" formatCode="0.0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/>
      </font>
      <alignment horizontal="right" vertical="bottom" textRotation="0" wrapText="0" indent="0" justifyLastLine="0" shrinkToFit="0" readingOrder="0"/>
    </dxf>
    <dxf>
      <numFmt numFmtId="0" formatCode="General"/>
    </dxf>
    <dxf>
      <font>
        <b/>
      </font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Pin/Pout</a:t>
            </a:r>
            <a:r>
              <a:rPr lang="en-US" b="1" baseline="0"/>
              <a:t> Chart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Sheet1!$D$2:$D$175</c:f>
              <c:numCache>
                <c:formatCode>General</c:formatCode>
                <c:ptCount val="174"/>
                <c:pt idx="0">
                  <c:v>33.67</c:v>
                </c:pt>
                <c:pt idx="1">
                  <c:v>57</c:v>
                </c:pt>
                <c:pt idx="2">
                  <c:v>91.74</c:v>
                </c:pt>
                <c:pt idx="3">
                  <c:v>116.25</c:v>
                </c:pt>
                <c:pt idx="4">
                  <c:v>120.57</c:v>
                </c:pt>
                <c:pt idx="5">
                  <c:v>123.54</c:v>
                </c:pt>
                <c:pt idx="6">
                  <c:v>129.1</c:v>
                </c:pt>
                <c:pt idx="7">
                  <c:v>131.88</c:v>
                </c:pt>
                <c:pt idx="8">
                  <c:v>136.47999999999999</c:v>
                </c:pt>
                <c:pt idx="9">
                  <c:v>138.96</c:v>
                </c:pt>
                <c:pt idx="10">
                  <c:v>145.22999999999999</c:v>
                </c:pt>
                <c:pt idx="11">
                  <c:v>149.68</c:v>
                </c:pt>
                <c:pt idx="12">
                  <c:v>154.28</c:v>
                </c:pt>
                <c:pt idx="13">
                  <c:v>157.06</c:v>
                </c:pt>
                <c:pt idx="14">
                  <c:v>158.83000000000001</c:v>
                </c:pt>
                <c:pt idx="15">
                  <c:v>158.12</c:v>
                </c:pt>
                <c:pt idx="16">
                  <c:v>157.15</c:v>
                </c:pt>
                <c:pt idx="17">
                  <c:v>154.71</c:v>
                </c:pt>
                <c:pt idx="18">
                  <c:v>153.46</c:v>
                </c:pt>
                <c:pt idx="19">
                  <c:v>152.38</c:v>
                </c:pt>
                <c:pt idx="20">
                  <c:v>155.62</c:v>
                </c:pt>
                <c:pt idx="21">
                  <c:v>157.6</c:v>
                </c:pt>
                <c:pt idx="22">
                  <c:v>160.35</c:v>
                </c:pt>
                <c:pt idx="23">
                  <c:v>161.09</c:v>
                </c:pt>
                <c:pt idx="24">
                  <c:v>158.46</c:v>
                </c:pt>
                <c:pt idx="25">
                  <c:v>156.85</c:v>
                </c:pt>
                <c:pt idx="26">
                  <c:v>151.83000000000001</c:v>
                </c:pt>
                <c:pt idx="27">
                  <c:v>151.04</c:v>
                </c:pt>
                <c:pt idx="28">
                  <c:v>149.94</c:v>
                </c:pt>
                <c:pt idx="29">
                  <c:v>151.66999999999999</c:v>
                </c:pt>
                <c:pt idx="30">
                  <c:v>156.29</c:v>
                </c:pt>
                <c:pt idx="31">
                  <c:v>159.72999999999999</c:v>
                </c:pt>
                <c:pt idx="32">
                  <c:v>162.49</c:v>
                </c:pt>
                <c:pt idx="33">
                  <c:v>164.12</c:v>
                </c:pt>
                <c:pt idx="34">
                  <c:v>163.12</c:v>
                </c:pt>
                <c:pt idx="35">
                  <c:v>160.93</c:v>
                </c:pt>
                <c:pt idx="36">
                  <c:v>157.07</c:v>
                </c:pt>
                <c:pt idx="37">
                  <c:v>153.91</c:v>
                </c:pt>
                <c:pt idx="38">
                  <c:v>151.88</c:v>
                </c:pt>
                <c:pt idx="39">
                  <c:v>152.57</c:v>
                </c:pt>
                <c:pt idx="40">
                  <c:v>156.06</c:v>
                </c:pt>
                <c:pt idx="41">
                  <c:v>159.37</c:v>
                </c:pt>
                <c:pt idx="42">
                  <c:v>160.76</c:v>
                </c:pt>
                <c:pt idx="43">
                  <c:v>161.24</c:v>
                </c:pt>
                <c:pt idx="44">
                  <c:v>160.34</c:v>
                </c:pt>
                <c:pt idx="45">
                  <c:v>157.49</c:v>
                </c:pt>
                <c:pt idx="46">
                  <c:v>163.72</c:v>
                </c:pt>
                <c:pt idx="47">
                  <c:v>164.16</c:v>
                </c:pt>
                <c:pt idx="48">
                  <c:v>166.87</c:v>
                </c:pt>
                <c:pt idx="49">
                  <c:v>167.64</c:v>
                </c:pt>
                <c:pt idx="50">
                  <c:v>160.18</c:v>
                </c:pt>
                <c:pt idx="51">
                  <c:v>159.22999999999999</c:v>
                </c:pt>
                <c:pt idx="52">
                  <c:v>158.72</c:v>
                </c:pt>
                <c:pt idx="53">
                  <c:v>159.57</c:v>
                </c:pt>
                <c:pt idx="54">
                  <c:v>160.63</c:v>
                </c:pt>
                <c:pt idx="55">
                  <c:v>160.79</c:v>
                </c:pt>
                <c:pt idx="56">
                  <c:v>160.15</c:v>
                </c:pt>
                <c:pt idx="57">
                  <c:v>157.72999999999999</c:v>
                </c:pt>
                <c:pt idx="58">
                  <c:v>157.75</c:v>
                </c:pt>
                <c:pt idx="59">
                  <c:v>155.97</c:v>
                </c:pt>
                <c:pt idx="60">
                  <c:v>153.94999999999999</c:v>
                </c:pt>
                <c:pt idx="61">
                  <c:v>154.43</c:v>
                </c:pt>
                <c:pt idx="62">
                  <c:v>155.59</c:v>
                </c:pt>
                <c:pt idx="63">
                  <c:v>157.22999999999999</c:v>
                </c:pt>
                <c:pt idx="64">
                  <c:v>161.15</c:v>
                </c:pt>
                <c:pt idx="65">
                  <c:v>162.97</c:v>
                </c:pt>
                <c:pt idx="66">
                  <c:v>159.69</c:v>
                </c:pt>
                <c:pt idx="67">
                  <c:v>159.99</c:v>
                </c:pt>
                <c:pt idx="68">
                  <c:v>159.28</c:v>
                </c:pt>
                <c:pt idx="69">
                  <c:v>157.57</c:v>
                </c:pt>
                <c:pt idx="70">
                  <c:v>156.80000000000001</c:v>
                </c:pt>
                <c:pt idx="71">
                  <c:v>154.77000000000001</c:v>
                </c:pt>
                <c:pt idx="72">
                  <c:v>155.69999999999999</c:v>
                </c:pt>
                <c:pt idx="73">
                  <c:v>159.74</c:v>
                </c:pt>
                <c:pt idx="74">
                  <c:v>161.6</c:v>
                </c:pt>
                <c:pt idx="75">
                  <c:v>159.78</c:v>
                </c:pt>
                <c:pt idx="76">
                  <c:v>154.88</c:v>
                </c:pt>
                <c:pt idx="77">
                  <c:v>152.52000000000001</c:v>
                </c:pt>
                <c:pt idx="78">
                  <c:v>152.91999999999999</c:v>
                </c:pt>
                <c:pt idx="79">
                  <c:v>155.11000000000001</c:v>
                </c:pt>
                <c:pt idx="80">
                  <c:v>158.13999999999999</c:v>
                </c:pt>
                <c:pt idx="81">
                  <c:v>158.4</c:v>
                </c:pt>
                <c:pt idx="82">
                  <c:v>158.11000000000001</c:v>
                </c:pt>
                <c:pt idx="83">
                  <c:v>157.41999999999999</c:v>
                </c:pt>
                <c:pt idx="84">
                  <c:v>156.41</c:v>
                </c:pt>
                <c:pt idx="85">
                  <c:v>153.32</c:v>
                </c:pt>
                <c:pt idx="86">
                  <c:v>151.72</c:v>
                </c:pt>
                <c:pt idx="87">
                  <c:v>151.12</c:v>
                </c:pt>
                <c:pt idx="88">
                  <c:v>151.97</c:v>
                </c:pt>
                <c:pt idx="89">
                  <c:v>157.32</c:v>
                </c:pt>
                <c:pt idx="90">
                  <c:v>161.13999999999999</c:v>
                </c:pt>
                <c:pt idx="91">
                  <c:v>161.21</c:v>
                </c:pt>
                <c:pt idx="92">
                  <c:v>161.5</c:v>
                </c:pt>
                <c:pt idx="93">
                  <c:v>159.72999999999999</c:v>
                </c:pt>
                <c:pt idx="94">
                  <c:v>157.15</c:v>
                </c:pt>
                <c:pt idx="95">
                  <c:v>157.19</c:v>
                </c:pt>
                <c:pt idx="96">
                  <c:v>156.30000000000001</c:v>
                </c:pt>
                <c:pt idx="97">
                  <c:v>157.72</c:v>
                </c:pt>
                <c:pt idx="98">
                  <c:v>158.76</c:v>
                </c:pt>
                <c:pt idx="99">
                  <c:v>160.84</c:v>
                </c:pt>
                <c:pt idx="100">
                  <c:v>161.19999999999999</c:v>
                </c:pt>
                <c:pt idx="101">
                  <c:v>159.63</c:v>
                </c:pt>
                <c:pt idx="102">
                  <c:v>160.29</c:v>
                </c:pt>
                <c:pt idx="103">
                  <c:v>159.37</c:v>
                </c:pt>
                <c:pt idx="104">
                  <c:v>159.19</c:v>
                </c:pt>
                <c:pt idx="105">
                  <c:v>159.38999999999999</c:v>
                </c:pt>
                <c:pt idx="106">
                  <c:v>157.15</c:v>
                </c:pt>
                <c:pt idx="107">
                  <c:v>155.18</c:v>
                </c:pt>
                <c:pt idx="108">
                  <c:v>154.30000000000001</c:v>
                </c:pt>
                <c:pt idx="109">
                  <c:v>155.91</c:v>
                </c:pt>
                <c:pt idx="110">
                  <c:v>160.15</c:v>
                </c:pt>
                <c:pt idx="111">
                  <c:v>162.78</c:v>
                </c:pt>
                <c:pt idx="112">
                  <c:v>163.29</c:v>
                </c:pt>
                <c:pt idx="113">
                  <c:v>158.61000000000001</c:v>
                </c:pt>
                <c:pt idx="114">
                  <c:v>156.25</c:v>
                </c:pt>
                <c:pt idx="115">
                  <c:v>157.31</c:v>
                </c:pt>
                <c:pt idx="116">
                  <c:v>158.49</c:v>
                </c:pt>
                <c:pt idx="117">
                  <c:v>159.66999999999999</c:v>
                </c:pt>
                <c:pt idx="118">
                  <c:v>158.77000000000001</c:v>
                </c:pt>
                <c:pt idx="119">
                  <c:v>156.04</c:v>
                </c:pt>
                <c:pt idx="120">
                  <c:v>150.25</c:v>
                </c:pt>
                <c:pt idx="121">
                  <c:v>149.33000000000001</c:v>
                </c:pt>
                <c:pt idx="122">
                  <c:v>147.41</c:v>
                </c:pt>
                <c:pt idx="123">
                  <c:v>148.07</c:v>
                </c:pt>
                <c:pt idx="124">
                  <c:v>154.19999999999999</c:v>
                </c:pt>
                <c:pt idx="125">
                  <c:v>157.44</c:v>
                </c:pt>
                <c:pt idx="126">
                  <c:v>160.41999999999999</c:v>
                </c:pt>
                <c:pt idx="127">
                  <c:v>162.54</c:v>
                </c:pt>
                <c:pt idx="128">
                  <c:v>162.84</c:v>
                </c:pt>
                <c:pt idx="129">
                  <c:v>160.47</c:v>
                </c:pt>
                <c:pt idx="130">
                  <c:v>157.78</c:v>
                </c:pt>
                <c:pt idx="131">
                  <c:v>158.05000000000001</c:v>
                </c:pt>
                <c:pt idx="132">
                  <c:v>158.13</c:v>
                </c:pt>
                <c:pt idx="133">
                  <c:v>159.5</c:v>
                </c:pt>
                <c:pt idx="134">
                  <c:v>159.6</c:v>
                </c:pt>
                <c:pt idx="135">
                  <c:v>158.43</c:v>
                </c:pt>
                <c:pt idx="136">
                  <c:v>154.96</c:v>
                </c:pt>
                <c:pt idx="137">
                  <c:v>153.76</c:v>
                </c:pt>
                <c:pt idx="138">
                  <c:v>155.02000000000001</c:v>
                </c:pt>
                <c:pt idx="139">
                  <c:v>155.97999999999999</c:v>
                </c:pt>
                <c:pt idx="140">
                  <c:v>158.58000000000001</c:v>
                </c:pt>
                <c:pt idx="141">
                  <c:v>160.69</c:v>
                </c:pt>
                <c:pt idx="142">
                  <c:v>159.56</c:v>
                </c:pt>
                <c:pt idx="143">
                  <c:v>159.66999999999999</c:v>
                </c:pt>
                <c:pt idx="144">
                  <c:v>157.76</c:v>
                </c:pt>
                <c:pt idx="145">
                  <c:v>153.79</c:v>
                </c:pt>
                <c:pt idx="146">
                  <c:v>153.06</c:v>
                </c:pt>
                <c:pt idx="147">
                  <c:v>151.09</c:v>
                </c:pt>
                <c:pt idx="148">
                  <c:v>152.25</c:v>
                </c:pt>
                <c:pt idx="149">
                  <c:v>152.21</c:v>
                </c:pt>
                <c:pt idx="150">
                  <c:v>150.06</c:v>
                </c:pt>
                <c:pt idx="151">
                  <c:v>149.30000000000001</c:v>
                </c:pt>
                <c:pt idx="152">
                  <c:v>144.47999999999999</c:v>
                </c:pt>
                <c:pt idx="153">
                  <c:v>144.46</c:v>
                </c:pt>
                <c:pt idx="154">
                  <c:v>143.59</c:v>
                </c:pt>
                <c:pt idx="155">
                  <c:v>143.62</c:v>
                </c:pt>
                <c:pt idx="156">
                  <c:v>146.66999999999999</c:v>
                </c:pt>
                <c:pt idx="157">
                  <c:v>150.30000000000001</c:v>
                </c:pt>
                <c:pt idx="158">
                  <c:v>153.69999999999999</c:v>
                </c:pt>
                <c:pt idx="159">
                  <c:v>157.43</c:v>
                </c:pt>
                <c:pt idx="160">
                  <c:v>156.85</c:v>
                </c:pt>
                <c:pt idx="161">
                  <c:v>156.69999999999999</c:v>
                </c:pt>
                <c:pt idx="162">
                  <c:v>156.15</c:v>
                </c:pt>
                <c:pt idx="163">
                  <c:v>154.22999999999999</c:v>
                </c:pt>
                <c:pt idx="164">
                  <c:v>153.44999999999999</c:v>
                </c:pt>
                <c:pt idx="165">
                  <c:v>153.52000000000001</c:v>
                </c:pt>
                <c:pt idx="166">
                  <c:v>153.71</c:v>
                </c:pt>
                <c:pt idx="167">
                  <c:v>156.56</c:v>
                </c:pt>
                <c:pt idx="168">
                  <c:v>157.82</c:v>
                </c:pt>
                <c:pt idx="169">
                  <c:v>161.41</c:v>
                </c:pt>
                <c:pt idx="170">
                  <c:v>161.54</c:v>
                </c:pt>
                <c:pt idx="171">
                  <c:v>159.16</c:v>
                </c:pt>
                <c:pt idx="172">
                  <c:v>158.57</c:v>
                </c:pt>
                <c:pt idx="173">
                  <c:v>156.76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E-4E3A-99A4-E22C5EE6829C}"/>
            </c:ext>
          </c:extLst>
        </c:ser>
        <c:ser>
          <c:idx val="1"/>
          <c:order val="1"/>
          <c:tx>
            <c:v>Pout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Sheet1!$G$2:$G$175</c:f>
              <c:numCache>
                <c:formatCode>General</c:formatCode>
                <c:ptCount val="174"/>
                <c:pt idx="0">
                  <c:v>31.99</c:v>
                </c:pt>
                <c:pt idx="1">
                  <c:v>53.99</c:v>
                </c:pt>
                <c:pt idx="2">
                  <c:v>87.6</c:v>
                </c:pt>
                <c:pt idx="3">
                  <c:v>110.53</c:v>
                </c:pt>
                <c:pt idx="4">
                  <c:v>113.55</c:v>
                </c:pt>
                <c:pt idx="5">
                  <c:v>115.39</c:v>
                </c:pt>
                <c:pt idx="6">
                  <c:v>118.06</c:v>
                </c:pt>
                <c:pt idx="7">
                  <c:v>119.39</c:v>
                </c:pt>
                <c:pt idx="8">
                  <c:v>121.19</c:v>
                </c:pt>
                <c:pt idx="9">
                  <c:v>122.24</c:v>
                </c:pt>
                <c:pt idx="10">
                  <c:v>123.61</c:v>
                </c:pt>
                <c:pt idx="11">
                  <c:v>124.67</c:v>
                </c:pt>
                <c:pt idx="12">
                  <c:v>125.83</c:v>
                </c:pt>
                <c:pt idx="13">
                  <c:v>126.67</c:v>
                </c:pt>
                <c:pt idx="14">
                  <c:v>127.09</c:v>
                </c:pt>
                <c:pt idx="15">
                  <c:v>127.3</c:v>
                </c:pt>
                <c:pt idx="16">
                  <c:v>127.3</c:v>
                </c:pt>
                <c:pt idx="17">
                  <c:v>126.46</c:v>
                </c:pt>
                <c:pt idx="18">
                  <c:v>126.14</c:v>
                </c:pt>
                <c:pt idx="19">
                  <c:v>126.04</c:v>
                </c:pt>
                <c:pt idx="20">
                  <c:v>126.25</c:v>
                </c:pt>
                <c:pt idx="21">
                  <c:v>126.78</c:v>
                </c:pt>
                <c:pt idx="22">
                  <c:v>127.41</c:v>
                </c:pt>
                <c:pt idx="23">
                  <c:v>127.51</c:v>
                </c:pt>
                <c:pt idx="24">
                  <c:v>127.09</c:v>
                </c:pt>
                <c:pt idx="25">
                  <c:v>126.78</c:v>
                </c:pt>
                <c:pt idx="26">
                  <c:v>125.62</c:v>
                </c:pt>
                <c:pt idx="27">
                  <c:v>125.19</c:v>
                </c:pt>
                <c:pt idx="28">
                  <c:v>125.09</c:v>
                </c:pt>
                <c:pt idx="29">
                  <c:v>125.62</c:v>
                </c:pt>
                <c:pt idx="30">
                  <c:v>126.35</c:v>
                </c:pt>
                <c:pt idx="31">
                  <c:v>126.99</c:v>
                </c:pt>
                <c:pt idx="32">
                  <c:v>127.41</c:v>
                </c:pt>
                <c:pt idx="33">
                  <c:v>127.62</c:v>
                </c:pt>
                <c:pt idx="34">
                  <c:v>127.62</c:v>
                </c:pt>
                <c:pt idx="35">
                  <c:v>127.51</c:v>
                </c:pt>
                <c:pt idx="36">
                  <c:v>127.09</c:v>
                </c:pt>
                <c:pt idx="37">
                  <c:v>126.57</c:v>
                </c:pt>
                <c:pt idx="38">
                  <c:v>125.93</c:v>
                </c:pt>
                <c:pt idx="39">
                  <c:v>125.83</c:v>
                </c:pt>
                <c:pt idx="40">
                  <c:v>126.25</c:v>
                </c:pt>
                <c:pt idx="41">
                  <c:v>126.78</c:v>
                </c:pt>
                <c:pt idx="42">
                  <c:v>127.2</c:v>
                </c:pt>
                <c:pt idx="43">
                  <c:v>127.62</c:v>
                </c:pt>
                <c:pt idx="44">
                  <c:v>127.41</c:v>
                </c:pt>
                <c:pt idx="45">
                  <c:v>126.88</c:v>
                </c:pt>
                <c:pt idx="46">
                  <c:v>126.88</c:v>
                </c:pt>
                <c:pt idx="47">
                  <c:v>126.88</c:v>
                </c:pt>
                <c:pt idx="48">
                  <c:v>127.3</c:v>
                </c:pt>
                <c:pt idx="49">
                  <c:v>127.51</c:v>
                </c:pt>
                <c:pt idx="50">
                  <c:v>127.09</c:v>
                </c:pt>
                <c:pt idx="51">
                  <c:v>126.99</c:v>
                </c:pt>
                <c:pt idx="52">
                  <c:v>126.99</c:v>
                </c:pt>
                <c:pt idx="53">
                  <c:v>127.09</c:v>
                </c:pt>
                <c:pt idx="54">
                  <c:v>127.41</c:v>
                </c:pt>
                <c:pt idx="55">
                  <c:v>127.51</c:v>
                </c:pt>
                <c:pt idx="56">
                  <c:v>127.51</c:v>
                </c:pt>
                <c:pt idx="57">
                  <c:v>127.2</c:v>
                </c:pt>
                <c:pt idx="58">
                  <c:v>127.09</c:v>
                </c:pt>
                <c:pt idx="59">
                  <c:v>126.46</c:v>
                </c:pt>
                <c:pt idx="60">
                  <c:v>126.04</c:v>
                </c:pt>
                <c:pt idx="61">
                  <c:v>126.14</c:v>
                </c:pt>
                <c:pt idx="62">
                  <c:v>126.35</c:v>
                </c:pt>
                <c:pt idx="63">
                  <c:v>126.78</c:v>
                </c:pt>
                <c:pt idx="64">
                  <c:v>127.41</c:v>
                </c:pt>
                <c:pt idx="65">
                  <c:v>127.62</c:v>
                </c:pt>
                <c:pt idx="66">
                  <c:v>127.3</c:v>
                </c:pt>
                <c:pt idx="67">
                  <c:v>127.3</c:v>
                </c:pt>
                <c:pt idx="68">
                  <c:v>127.3</c:v>
                </c:pt>
                <c:pt idx="69">
                  <c:v>127.2</c:v>
                </c:pt>
                <c:pt idx="70">
                  <c:v>127.09</c:v>
                </c:pt>
                <c:pt idx="71">
                  <c:v>126.88</c:v>
                </c:pt>
                <c:pt idx="72">
                  <c:v>126.88</c:v>
                </c:pt>
                <c:pt idx="73">
                  <c:v>127.09</c:v>
                </c:pt>
                <c:pt idx="74">
                  <c:v>127.3</c:v>
                </c:pt>
                <c:pt idx="75">
                  <c:v>126.99</c:v>
                </c:pt>
                <c:pt idx="76">
                  <c:v>126.35</c:v>
                </c:pt>
                <c:pt idx="77">
                  <c:v>126.04</c:v>
                </c:pt>
                <c:pt idx="78">
                  <c:v>126.14</c:v>
                </c:pt>
                <c:pt idx="79">
                  <c:v>126.46</c:v>
                </c:pt>
                <c:pt idx="80">
                  <c:v>127.09</c:v>
                </c:pt>
                <c:pt idx="81">
                  <c:v>127.41</c:v>
                </c:pt>
                <c:pt idx="82">
                  <c:v>127.3</c:v>
                </c:pt>
                <c:pt idx="83">
                  <c:v>127.09</c:v>
                </c:pt>
                <c:pt idx="84">
                  <c:v>126.67</c:v>
                </c:pt>
                <c:pt idx="85">
                  <c:v>125.72</c:v>
                </c:pt>
                <c:pt idx="86">
                  <c:v>125.41</c:v>
                </c:pt>
                <c:pt idx="87">
                  <c:v>125.3</c:v>
                </c:pt>
                <c:pt idx="88">
                  <c:v>125.62</c:v>
                </c:pt>
                <c:pt idx="89">
                  <c:v>126.57</c:v>
                </c:pt>
                <c:pt idx="90">
                  <c:v>127.2</c:v>
                </c:pt>
                <c:pt idx="91">
                  <c:v>127.51</c:v>
                </c:pt>
                <c:pt idx="92">
                  <c:v>127.51</c:v>
                </c:pt>
                <c:pt idx="93">
                  <c:v>127.3</c:v>
                </c:pt>
                <c:pt idx="94">
                  <c:v>126.67</c:v>
                </c:pt>
                <c:pt idx="95">
                  <c:v>126.46</c:v>
                </c:pt>
                <c:pt idx="96">
                  <c:v>126.35</c:v>
                </c:pt>
                <c:pt idx="97">
                  <c:v>126.78</c:v>
                </c:pt>
                <c:pt idx="98">
                  <c:v>127.2</c:v>
                </c:pt>
                <c:pt idx="99">
                  <c:v>127.51</c:v>
                </c:pt>
                <c:pt idx="100">
                  <c:v>127.62</c:v>
                </c:pt>
                <c:pt idx="101">
                  <c:v>127.3</c:v>
                </c:pt>
                <c:pt idx="102">
                  <c:v>127.3</c:v>
                </c:pt>
                <c:pt idx="103">
                  <c:v>127.41</c:v>
                </c:pt>
                <c:pt idx="104">
                  <c:v>127.3</c:v>
                </c:pt>
                <c:pt idx="105">
                  <c:v>127.3</c:v>
                </c:pt>
                <c:pt idx="106">
                  <c:v>126.67</c:v>
                </c:pt>
                <c:pt idx="107">
                  <c:v>126.14</c:v>
                </c:pt>
                <c:pt idx="108">
                  <c:v>126.14</c:v>
                </c:pt>
                <c:pt idx="109">
                  <c:v>126.35</c:v>
                </c:pt>
                <c:pt idx="110">
                  <c:v>127.09</c:v>
                </c:pt>
                <c:pt idx="111">
                  <c:v>127.51</c:v>
                </c:pt>
                <c:pt idx="112">
                  <c:v>127.51</c:v>
                </c:pt>
                <c:pt idx="113">
                  <c:v>126.88</c:v>
                </c:pt>
                <c:pt idx="114">
                  <c:v>126.67</c:v>
                </c:pt>
                <c:pt idx="115">
                  <c:v>126.67</c:v>
                </c:pt>
                <c:pt idx="116">
                  <c:v>126.78</c:v>
                </c:pt>
                <c:pt idx="117">
                  <c:v>127.09</c:v>
                </c:pt>
                <c:pt idx="118">
                  <c:v>126.99</c:v>
                </c:pt>
                <c:pt idx="119">
                  <c:v>126.57</c:v>
                </c:pt>
                <c:pt idx="120">
                  <c:v>125.51</c:v>
                </c:pt>
                <c:pt idx="121">
                  <c:v>125.19</c:v>
                </c:pt>
                <c:pt idx="122">
                  <c:v>124.88</c:v>
                </c:pt>
                <c:pt idx="123">
                  <c:v>125.09</c:v>
                </c:pt>
                <c:pt idx="124">
                  <c:v>126.25</c:v>
                </c:pt>
                <c:pt idx="125">
                  <c:v>126.78</c:v>
                </c:pt>
                <c:pt idx="126">
                  <c:v>127.2</c:v>
                </c:pt>
                <c:pt idx="127">
                  <c:v>127.62</c:v>
                </c:pt>
                <c:pt idx="128">
                  <c:v>127.62</c:v>
                </c:pt>
                <c:pt idx="129">
                  <c:v>127.3</c:v>
                </c:pt>
                <c:pt idx="130">
                  <c:v>126.99</c:v>
                </c:pt>
                <c:pt idx="131">
                  <c:v>126.78</c:v>
                </c:pt>
                <c:pt idx="132">
                  <c:v>126.88</c:v>
                </c:pt>
                <c:pt idx="133">
                  <c:v>127.09</c:v>
                </c:pt>
                <c:pt idx="134">
                  <c:v>127.2</c:v>
                </c:pt>
                <c:pt idx="135">
                  <c:v>127.09</c:v>
                </c:pt>
                <c:pt idx="136">
                  <c:v>126.35</c:v>
                </c:pt>
                <c:pt idx="137">
                  <c:v>126.04</c:v>
                </c:pt>
                <c:pt idx="138">
                  <c:v>126.14</c:v>
                </c:pt>
                <c:pt idx="139">
                  <c:v>126.67</c:v>
                </c:pt>
                <c:pt idx="140">
                  <c:v>127.2</c:v>
                </c:pt>
                <c:pt idx="141">
                  <c:v>127.62</c:v>
                </c:pt>
                <c:pt idx="142">
                  <c:v>127.73</c:v>
                </c:pt>
                <c:pt idx="143">
                  <c:v>127.41</c:v>
                </c:pt>
                <c:pt idx="144">
                  <c:v>127.09</c:v>
                </c:pt>
                <c:pt idx="145">
                  <c:v>126.35</c:v>
                </c:pt>
                <c:pt idx="146">
                  <c:v>125.62</c:v>
                </c:pt>
                <c:pt idx="147">
                  <c:v>125.19</c:v>
                </c:pt>
                <c:pt idx="148">
                  <c:v>125.3</c:v>
                </c:pt>
                <c:pt idx="149">
                  <c:v>125.19</c:v>
                </c:pt>
                <c:pt idx="150">
                  <c:v>125.09</c:v>
                </c:pt>
                <c:pt idx="151">
                  <c:v>124.77</c:v>
                </c:pt>
                <c:pt idx="152">
                  <c:v>123.3</c:v>
                </c:pt>
                <c:pt idx="153">
                  <c:v>122.98</c:v>
                </c:pt>
                <c:pt idx="154">
                  <c:v>122.87</c:v>
                </c:pt>
                <c:pt idx="155">
                  <c:v>123.3</c:v>
                </c:pt>
                <c:pt idx="156">
                  <c:v>124.25</c:v>
                </c:pt>
                <c:pt idx="157">
                  <c:v>125.3</c:v>
                </c:pt>
                <c:pt idx="158">
                  <c:v>126.14</c:v>
                </c:pt>
                <c:pt idx="159">
                  <c:v>127.09</c:v>
                </c:pt>
                <c:pt idx="160">
                  <c:v>127.41</c:v>
                </c:pt>
                <c:pt idx="161">
                  <c:v>127.41</c:v>
                </c:pt>
                <c:pt idx="162">
                  <c:v>126.99</c:v>
                </c:pt>
                <c:pt idx="163">
                  <c:v>126.46</c:v>
                </c:pt>
                <c:pt idx="164">
                  <c:v>125.93</c:v>
                </c:pt>
                <c:pt idx="165">
                  <c:v>125.93</c:v>
                </c:pt>
                <c:pt idx="166">
                  <c:v>126.35</c:v>
                </c:pt>
                <c:pt idx="167">
                  <c:v>126.88</c:v>
                </c:pt>
                <c:pt idx="168">
                  <c:v>127.2</c:v>
                </c:pt>
                <c:pt idx="169">
                  <c:v>127.62</c:v>
                </c:pt>
                <c:pt idx="170">
                  <c:v>127.41</c:v>
                </c:pt>
                <c:pt idx="171">
                  <c:v>126.88</c:v>
                </c:pt>
                <c:pt idx="172">
                  <c:v>126.67</c:v>
                </c:pt>
                <c:pt idx="173">
                  <c:v>126.67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E-4E3A-99A4-E22C5EE6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591200"/>
        <c:axId val="1936591680"/>
      </c:scatterChart>
      <c:valAx>
        <c:axId val="19365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91680"/>
        <c:crosses val="autoZero"/>
        <c:crossBetween val="midCat"/>
      </c:valAx>
      <c:valAx>
        <c:axId val="1936591680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9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Efficency/MPPT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Duty Cycle 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Sheet1!$H$2:$H$175</c:f>
              <c:numCache>
                <c:formatCode>General</c:formatCode>
                <c:ptCount val="174"/>
                <c:pt idx="0">
                  <c:v>41.38</c:v>
                </c:pt>
                <c:pt idx="1">
                  <c:v>42.95</c:v>
                </c:pt>
                <c:pt idx="2">
                  <c:v>44.51</c:v>
                </c:pt>
                <c:pt idx="3">
                  <c:v>46.08</c:v>
                </c:pt>
                <c:pt idx="4">
                  <c:v>47.65</c:v>
                </c:pt>
                <c:pt idx="5">
                  <c:v>49.22</c:v>
                </c:pt>
                <c:pt idx="6">
                  <c:v>50.78</c:v>
                </c:pt>
                <c:pt idx="7">
                  <c:v>52.35</c:v>
                </c:pt>
                <c:pt idx="8">
                  <c:v>53.92</c:v>
                </c:pt>
                <c:pt idx="9">
                  <c:v>55.49</c:v>
                </c:pt>
                <c:pt idx="10">
                  <c:v>57.05</c:v>
                </c:pt>
                <c:pt idx="11">
                  <c:v>58.62</c:v>
                </c:pt>
                <c:pt idx="12">
                  <c:v>59.87</c:v>
                </c:pt>
                <c:pt idx="13">
                  <c:v>59.87</c:v>
                </c:pt>
                <c:pt idx="14">
                  <c:v>58.31</c:v>
                </c:pt>
                <c:pt idx="15">
                  <c:v>56.74</c:v>
                </c:pt>
                <c:pt idx="16">
                  <c:v>55.17</c:v>
                </c:pt>
                <c:pt idx="17">
                  <c:v>56.74</c:v>
                </c:pt>
                <c:pt idx="18">
                  <c:v>58.31</c:v>
                </c:pt>
                <c:pt idx="19">
                  <c:v>59.87</c:v>
                </c:pt>
                <c:pt idx="20">
                  <c:v>59.87</c:v>
                </c:pt>
                <c:pt idx="21">
                  <c:v>59.87</c:v>
                </c:pt>
                <c:pt idx="22">
                  <c:v>58.31</c:v>
                </c:pt>
                <c:pt idx="23">
                  <c:v>56.74</c:v>
                </c:pt>
                <c:pt idx="24">
                  <c:v>55.17</c:v>
                </c:pt>
                <c:pt idx="25">
                  <c:v>53.61</c:v>
                </c:pt>
                <c:pt idx="26">
                  <c:v>55.17</c:v>
                </c:pt>
                <c:pt idx="27">
                  <c:v>56.74</c:v>
                </c:pt>
                <c:pt idx="28">
                  <c:v>58.31</c:v>
                </c:pt>
                <c:pt idx="29">
                  <c:v>59.87</c:v>
                </c:pt>
                <c:pt idx="30">
                  <c:v>59.87</c:v>
                </c:pt>
                <c:pt idx="31">
                  <c:v>59.87</c:v>
                </c:pt>
                <c:pt idx="32">
                  <c:v>59.87</c:v>
                </c:pt>
                <c:pt idx="33">
                  <c:v>59.87</c:v>
                </c:pt>
                <c:pt idx="34">
                  <c:v>58.31</c:v>
                </c:pt>
                <c:pt idx="35">
                  <c:v>56.74</c:v>
                </c:pt>
                <c:pt idx="36">
                  <c:v>55.17</c:v>
                </c:pt>
                <c:pt idx="37">
                  <c:v>56.74</c:v>
                </c:pt>
                <c:pt idx="38">
                  <c:v>58.31</c:v>
                </c:pt>
                <c:pt idx="39">
                  <c:v>59.87</c:v>
                </c:pt>
                <c:pt idx="40">
                  <c:v>59.87</c:v>
                </c:pt>
                <c:pt idx="41">
                  <c:v>59.87</c:v>
                </c:pt>
                <c:pt idx="42">
                  <c:v>59.87</c:v>
                </c:pt>
                <c:pt idx="43">
                  <c:v>58.31</c:v>
                </c:pt>
                <c:pt idx="44">
                  <c:v>56.74</c:v>
                </c:pt>
                <c:pt idx="45">
                  <c:v>58.31</c:v>
                </c:pt>
                <c:pt idx="46">
                  <c:v>59.87</c:v>
                </c:pt>
                <c:pt idx="47">
                  <c:v>59.87</c:v>
                </c:pt>
                <c:pt idx="48">
                  <c:v>58.31</c:v>
                </c:pt>
                <c:pt idx="49">
                  <c:v>56.74</c:v>
                </c:pt>
                <c:pt idx="50">
                  <c:v>58.31</c:v>
                </c:pt>
                <c:pt idx="51">
                  <c:v>59.87</c:v>
                </c:pt>
                <c:pt idx="52">
                  <c:v>59.87</c:v>
                </c:pt>
                <c:pt idx="53">
                  <c:v>58.31</c:v>
                </c:pt>
                <c:pt idx="54">
                  <c:v>59.87</c:v>
                </c:pt>
                <c:pt idx="55">
                  <c:v>59.87</c:v>
                </c:pt>
                <c:pt idx="56">
                  <c:v>58.31</c:v>
                </c:pt>
                <c:pt idx="57">
                  <c:v>56.74</c:v>
                </c:pt>
                <c:pt idx="58">
                  <c:v>55.17</c:v>
                </c:pt>
                <c:pt idx="59">
                  <c:v>56.74</c:v>
                </c:pt>
                <c:pt idx="60">
                  <c:v>58.31</c:v>
                </c:pt>
                <c:pt idx="61">
                  <c:v>59.87</c:v>
                </c:pt>
                <c:pt idx="62">
                  <c:v>59.87</c:v>
                </c:pt>
                <c:pt idx="63">
                  <c:v>59.87</c:v>
                </c:pt>
                <c:pt idx="64">
                  <c:v>59.87</c:v>
                </c:pt>
                <c:pt idx="65">
                  <c:v>58.31</c:v>
                </c:pt>
                <c:pt idx="66">
                  <c:v>59.87</c:v>
                </c:pt>
                <c:pt idx="67">
                  <c:v>59.87</c:v>
                </c:pt>
                <c:pt idx="68">
                  <c:v>58.31</c:v>
                </c:pt>
                <c:pt idx="69">
                  <c:v>56.74</c:v>
                </c:pt>
                <c:pt idx="70">
                  <c:v>58.31</c:v>
                </c:pt>
                <c:pt idx="71">
                  <c:v>59.87</c:v>
                </c:pt>
                <c:pt idx="72">
                  <c:v>59.87</c:v>
                </c:pt>
                <c:pt idx="73">
                  <c:v>58.31</c:v>
                </c:pt>
                <c:pt idx="74">
                  <c:v>56.74</c:v>
                </c:pt>
                <c:pt idx="75">
                  <c:v>55.17</c:v>
                </c:pt>
                <c:pt idx="76">
                  <c:v>56.74</c:v>
                </c:pt>
                <c:pt idx="77">
                  <c:v>58.31</c:v>
                </c:pt>
                <c:pt idx="78">
                  <c:v>59.87</c:v>
                </c:pt>
                <c:pt idx="79">
                  <c:v>59.87</c:v>
                </c:pt>
                <c:pt idx="80">
                  <c:v>59.87</c:v>
                </c:pt>
                <c:pt idx="81">
                  <c:v>58.31</c:v>
                </c:pt>
                <c:pt idx="82">
                  <c:v>56.74</c:v>
                </c:pt>
                <c:pt idx="83">
                  <c:v>55.17</c:v>
                </c:pt>
                <c:pt idx="84">
                  <c:v>53.61</c:v>
                </c:pt>
                <c:pt idx="85">
                  <c:v>55.17</c:v>
                </c:pt>
                <c:pt idx="86">
                  <c:v>56.74</c:v>
                </c:pt>
                <c:pt idx="87">
                  <c:v>58.31</c:v>
                </c:pt>
                <c:pt idx="88">
                  <c:v>59.87</c:v>
                </c:pt>
                <c:pt idx="89">
                  <c:v>59.87</c:v>
                </c:pt>
                <c:pt idx="90">
                  <c:v>59.87</c:v>
                </c:pt>
                <c:pt idx="91">
                  <c:v>58.31</c:v>
                </c:pt>
                <c:pt idx="92">
                  <c:v>56.74</c:v>
                </c:pt>
                <c:pt idx="93">
                  <c:v>55.17</c:v>
                </c:pt>
                <c:pt idx="94">
                  <c:v>56.74</c:v>
                </c:pt>
                <c:pt idx="95">
                  <c:v>58.31</c:v>
                </c:pt>
                <c:pt idx="96">
                  <c:v>59.87</c:v>
                </c:pt>
                <c:pt idx="97">
                  <c:v>59.87</c:v>
                </c:pt>
                <c:pt idx="98">
                  <c:v>59.87</c:v>
                </c:pt>
                <c:pt idx="99">
                  <c:v>59.87</c:v>
                </c:pt>
                <c:pt idx="100">
                  <c:v>58.31</c:v>
                </c:pt>
                <c:pt idx="101">
                  <c:v>59.87</c:v>
                </c:pt>
                <c:pt idx="102">
                  <c:v>59.87</c:v>
                </c:pt>
                <c:pt idx="103">
                  <c:v>58.31</c:v>
                </c:pt>
                <c:pt idx="104">
                  <c:v>56.74</c:v>
                </c:pt>
                <c:pt idx="105">
                  <c:v>55.17</c:v>
                </c:pt>
                <c:pt idx="106">
                  <c:v>56.74</c:v>
                </c:pt>
                <c:pt idx="107">
                  <c:v>58.31</c:v>
                </c:pt>
                <c:pt idx="108">
                  <c:v>59.87</c:v>
                </c:pt>
                <c:pt idx="109">
                  <c:v>59.87</c:v>
                </c:pt>
                <c:pt idx="110">
                  <c:v>59.87</c:v>
                </c:pt>
                <c:pt idx="111">
                  <c:v>58.31</c:v>
                </c:pt>
                <c:pt idx="112">
                  <c:v>56.74</c:v>
                </c:pt>
                <c:pt idx="113">
                  <c:v>58.31</c:v>
                </c:pt>
                <c:pt idx="114">
                  <c:v>59.87</c:v>
                </c:pt>
                <c:pt idx="115">
                  <c:v>59.87</c:v>
                </c:pt>
                <c:pt idx="116">
                  <c:v>58.31</c:v>
                </c:pt>
                <c:pt idx="117">
                  <c:v>56.74</c:v>
                </c:pt>
                <c:pt idx="118">
                  <c:v>55.17</c:v>
                </c:pt>
                <c:pt idx="119">
                  <c:v>53.61</c:v>
                </c:pt>
                <c:pt idx="120">
                  <c:v>55.17</c:v>
                </c:pt>
                <c:pt idx="121">
                  <c:v>56.74</c:v>
                </c:pt>
                <c:pt idx="122">
                  <c:v>58.31</c:v>
                </c:pt>
                <c:pt idx="123">
                  <c:v>59.87</c:v>
                </c:pt>
                <c:pt idx="124">
                  <c:v>59.87</c:v>
                </c:pt>
                <c:pt idx="125">
                  <c:v>59.87</c:v>
                </c:pt>
                <c:pt idx="126">
                  <c:v>59.87</c:v>
                </c:pt>
                <c:pt idx="127">
                  <c:v>59.87</c:v>
                </c:pt>
                <c:pt idx="128">
                  <c:v>58.31</c:v>
                </c:pt>
                <c:pt idx="129">
                  <c:v>56.74</c:v>
                </c:pt>
                <c:pt idx="130">
                  <c:v>58.31</c:v>
                </c:pt>
                <c:pt idx="131">
                  <c:v>59.87</c:v>
                </c:pt>
                <c:pt idx="132">
                  <c:v>59.87</c:v>
                </c:pt>
                <c:pt idx="133">
                  <c:v>58.31</c:v>
                </c:pt>
                <c:pt idx="134">
                  <c:v>56.74</c:v>
                </c:pt>
                <c:pt idx="135">
                  <c:v>55.17</c:v>
                </c:pt>
                <c:pt idx="136">
                  <c:v>56.74</c:v>
                </c:pt>
                <c:pt idx="137">
                  <c:v>58.31</c:v>
                </c:pt>
                <c:pt idx="138">
                  <c:v>59.87</c:v>
                </c:pt>
                <c:pt idx="139">
                  <c:v>59.87</c:v>
                </c:pt>
                <c:pt idx="140">
                  <c:v>59.87</c:v>
                </c:pt>
                <c:pt idx="141">
                  <c:v>59.87</c:v>
                </c:pt>
                <c:pt idx="142">
                  <c:v>58.31</c:v>
                </c:pt>
                <c:pt idx="143">
                  <c:v>56.74</c:v>
                </c:pt>
                <c:pt idx="144">
                  <c:v>55.17</c:v>
                </c:pt>
                <c:pt idx="145">
                  <c:v>53.61</c:v>
                </c:pt>
                <c:pt idx="146">
                  <c:v>55.17</c:v>
                </c:pt>
                <c:pt idx="147">
                  <c:v>56.74</c:v>
                </c:pt>
                <c:pt idx="148">
                  <c:v>55.17</c:v>
                </c:pt>
                <c:pt idx="149">
                  <c:v>53.61</c:v>
                </c:pt>
                <c:pt idx="150">
                  <c:v>52.04</c:v>
                </c:pt>
                <c:pt idx="151">
                  <c:v>50.47</c:v>
                </c:pt>
                <c:pt idx="152">
                  <c:v>52.04</c:v>
                </c:pt>
                <c:pt idx="153">
                  <c:v>53.61</c:v>
                </c:pt>
                <c:pt idx="154">
                  <c:v>55.17</c:v>
                </c:pt>
                <c:pt idx="155">
                  <c:v>56.74</c:v>
                </c:pt>
                <c:pt idx="156">
                  <c:v>58.31</c:v>
                </c:pt>
                <c:pt idx="157">
                  <c:v>59.87</c:v>
                </c:pt>
                <c:pt idx="158">
                  <c:v>59.87</c:v>
                </c:pt>
                <c:pt idx="159">
                  <c:v>59.87</c:v>
                </c:pt>
                <c:pt idx="160">
                  <c:v>58.31</c:v>
                </c:pt>
                <c:pt idx="161">
                  <c:v>56.74</c:v>
                </c:pt>
                <c:pt idx="162">
                  <c:v>55.17</c:v>
                </c:pt>
                <c:pt idx="163">
                  <c:v>56.74</c:v>
                </c:pt>
                <c:pt idx="164">
                  <c:v>58.31</c:v>
                </c:pt>
                <c:pt idx="165">
                  <c:v>59.87</c:v>
                </c:pt>
                <c:pt idx="166">
                  <c:v>59.87</c:v>
                </c:pt>
                <c:pt idx="167">
                  <c:v>59.87</c:v>
                </c:pt>
                <c:pt idx="168">
                  <c:v>59.87</c:v>
                </c:pt>
                <c:pt idx="169">
                  <c:v>58.31</c:v>
                </c:pt>
                <c:pt idx="170">
                  <c:v>56.74</c:v>
                </c:pt>
                <c:pt idx="171">
                  <c:v>58.31</c:v>
                </c:pt>
                <c:pt idx="172">
                  <c:v>59.87</c:v>
                </c:pt>
                <c:pt idx="173">
                  <c:v>59.87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3-4B37-AD49-579810229494}"/>
            </c:ext>
          </c:extLst>
        </c:ser>
        <c:ser>
          <c:idx val="1"/>
          <c:order val="1"/>
          <c:tx>
            <c:v>MPPT State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Sheet1!$I$2:$I$175</c:f>
              <c:numCache>
                <c:formatCode>General</c:formatCode>
                <c:ptCount val="17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0</c:v>
                </c:pt>
                <c:pt idx="44">
                  <c:v>20</c:v>
                </c:pt>
                <c:pt idx="45">
                  <c:v>20</c:v>
                </c:pt>
                <c:pt idx="46">
                  <c:v>10</c:v>
                </c:pt>
                <c:pt idx="47">
                  <c:v>0</c:v>
                </c:pt>
                <c:pt idx="48">
                  <c:v>10</c:v>
                </c:pt>
                <c:pt idx="49">
                  <c:v>10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10</c:v>
                </c:pt>
                <c:pt idx="54">
                  <c:v>10</c:v>
                </c:pt>
                <c:pt idx="55">
                  <c:v>0</c:v>
                </c:pt>
                <c:pt idx="56">
                  <c:v>20</c:v>
                </c:pt>
                <c:pt idx="57">
                  <c:v>20</c:v>
                </c:pt>
                <c:pt idx="58">
                  <c:v>0</c:v>
                </c:pt>
                <c:pt idx="59">
                  <c:v>20</c:v>
                </c:pt>
                <c:pt idx="60">
                  <c:v>20</c:v>
                </c:pt>
                <c:pt idx="61">
                  <c:v>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20</c:v>
                </c:pt>
                <c:pt idx="67">
                  <c:v>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0</c:v>
                </c:pt>
                <c:pt idx="79">
                  <c:v>10</c:v>
                </c:pt>
                <c:pt idx="80">
                  <c:v>10</c:v>
                </c:pt>
                <c:pt idx="81">
                  <c:v>0</c:v>
                </c:pt>
                <c:pt idx="82">
                  <c:v>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0</c:v>
                </c:pt>
                <c:pt idx="92">
                  <c:v>0</c:v>
                </c:pt>
                <c:pt idx="93">
                  <c:v>20</c:v>
                </c:pt>
                <c:pt idx="94">
                  <c:v>20</c:v>
                </c:pt>
                <c:pt idx="95">
                  <c:v>0</c:v>
                </c:pt>
                <c:pt idx="96">
                  <c:v>20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0</c:v>
                </c:pt>
                <c:pt idx="101">
                  <c:v>20</c:v>
                </c:pt>
                <c:pt idx="102">
                  <c:v>10</c:v>
                </c:pt>
                <c:pt idx="103">
                  <c:v>20</c:v>
                </c:pt>
                <c:pt idx="104">
                  <c:v>0</c:v>
                </c:pt>
                <c:pt idx="105">
                  <c:v>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20</c:v>
                </c:pt>
                <c:pt idx="114">
                  <c:v>20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0</c:v>
                </c:pt>
                <c:pt idx="129">
                  <c:v>20</c:v>
                </c:pt>
                <c:pt idx="130">
                  <c:v>20</c:v>
                </c:pt>
                <c:pt idx="131">
                  <c:v>0</c:v>
                </c:pt>
                <c:pt idx="132">
                  <c:v>0</c:v>
                </c:pt>
                <c:pt idx="133">
                  <c:v>10</c:v>
                </c:pt>
                <c:pt idx="134">
                  <c:v>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20</c:v>
                </c:pt>
                <c:pt idx="143">
                  <c:v>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30</c:v>
                </c:pt>
                <c:pt idx="149">
                  <c:v>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0</c:v>
                </c:pt>
                <c:pt idx="154">
                  <c:v>20</c:v>
                </c:pt>
                <c:pt idx="155">
                  <c:v>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20</c:v>
                </c:pt>
                <c:pt idx="161">
                  <c:v>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0</c:v>
                </c:pt>
                <c:pt idx="166">
                  <c:v>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3-4B37-AD49-579810229494}"/>
            </c:ext>
          </c:extLst>
        </c:ser>
        <c:ser>
          <c:idx val="2"/>
          <c:order val="2"/>
          <c:tx>
            <c:v>Efficency %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Sheet1!$L$2:$L$175</c:f>
              <c:numCache>
                <c:formatCode>0.00</c:formatCode>
                <c:ptCount val="174"/>
                <c:pt idx="0">
                  <c:v>95.010395010395001</c:v>
                </c:pt>
                <c:pt idx="1">
                  <c:v>94.719298245614041</c:v>
                </c:pt>
                <c:pt idx="2">
                  <c:v>95.487246566383249</c:v>
                </c:pt>
                <c:pt idx="3">
                  <c:v>95.079569892473117</c:v>
                </c:pt>
                <c:pt idx="4">
                  <c:v>94.177656133366511</c:v>
                </c:pt>
                <c:pt idx="5">
                  <c:v>93.402946414116883</c:v>
                </c:pt>
                <c:pt idx="6">
                  <c:v>91.448489542989947</c:v>
                </c:pt>
                <c:pt idx="7">
                  <c:v>90.529269032453755</c:v>
                </c:pt>
                <c:pt idx="8">
                  <c:v>88.796893317702228</c:v>
                </c:pt>
                <c:pt idx="9">
                  <c:v>87.967760506620607</c:v>
                </c:pt>
                <c:pt idx="10">
                  <c:v>85.113268608414245</c:v>
                </c:pt>
                <c:pt idx="11">
                  <c:v>83.291020844468193</c:v>
                </c:pt>
                <c:pt idx="12">
                  <c:v>81.559502203785328</c:v>
                </c:pt>
                <c:pt idx="13">
                  <c:v>80.650706736279133</c:v>
                </c:pt>
                <c:pt idx="14">
                  <c:v>80.016369703456519</c:v>
                </c:pt>
                <c:pt idx="15">
                  <c:v>80.508474576271183</c:v>
                </c:pt>
                <c:pt idx="16">
                  <c:v>81.0054088450525</c:v>
                </c:pt>
                <c:pt idx="17">
                  <c:v>81.740029733048928</c:v>
                </c:pt>
                <c:pt idx="18">
                  <c:v>82.197315261305874</c:v>
                </c:pt>
                <c:pt idx="19">
                  <c:v>82.71426696416853</c:v>
                </c:pt>
                <c:pt idx="20">
                  <c:v>81.127104485284661</c:v>
                </c:pt>
                <c:pt idx="21">
                  <c:v>80.444162436548226</c:v>
                </c:pt>
                <c:pt idx="22">
                  <c:v>79.457436856875589</c:v>
                </c:pt>
                <c:pt idx="23">
                  <c:v>79.154509901297416</c:v>
                </c:pt>
                <c:pt idx="24">
                  <c:v>80.203205856367532</c:v>
                </c:pt>
                <c:pt idx="25">
                  <c:v>80.828817341408993</c:v>
                </c:pt>
                <c:pt idx="26">
                  <c:v>82.737271948890196</c:v>
                </c:pt>
                <c:pt idx="27">
                  <c:v>82.885328389830519</c:v>
                </c:pt>
                <c:pt idx="28">
                  <c:v>83.426704014939318</c:v>
                </c:pt>
                <c:pt idx="29">
                  <c:v>82.824553306520741</c:v>
                </c:pt>
                <c:pt idx="30">
                  <c:v>80.843304114146775</c:v>
                </c:pt>
                <c:pt idx="31">
                  <c:v>79.502911162586869</c:v>
                </c:pt>
                <c:pt idx="32">
                  <c:v>78.410979137177662</c:v>
                </c:pt>
                <c:pt idx="33">
                  <c:v>77.760175481355105</c:v>
                </c:pt>
                <c:pt idx="34">
                  <c:v>78.236880823933291</c:v>
                </c:pt>
                <c:pt idx="35">
                  <c:v>79.233206984403154</c:v>
                </c:pt>
                <c:pt idx="36">
                  <c:v>80.912968740052222</c:v>
                </c:pt>
                <c:pt idx="37">
                  <c:v>82.236371905659141</c:v>
                </c:pt>
                <c:pt idx="38">
                  <c:v>82.9141427442718</c:v>
                </c:pt>
                <c:pt idx="39">
                  <c:v>82.473618666841446</c:v>
                </c:pt>
                <c:pt idx="40">
                  <c:v>80.89837242086378</c:v>
                </c:pt>
                <c:pt idx="41">
                  <c:v>79.550731003325595</c:v>
                </c:pt>
                <c:pt idx="42">
                  <c:v>79.124160238865386</c:v>
                </c:pt>
                <c:pt idx="43">
                  <c:v>79.149094517489459</c:v>
                </c:pt>
                <c:pt idx="44">
                  <c:v>79.462392416115748</c:v>
                </c:pt>
                <c:pt idx="45">
                  <c:v>80.563845323512595</c:v>
                </c:pt>
                <c:pt idx="46">
                  <c:v>77.498167603225028</c:v>
                </c:pt>
                <c:pt idx="47">
                  <c:v>77.290448343079916</c:v>
                </c:pt>
                <c:pt idx="48">
                  <c:v>76.286929945466525</c:v>
                </c:pt>
                <c:pt idx="49">
                  <c:v>76.061799093295164</c:v>
                </c:pt>
                <c:pt idx="50">
                  <c:v>79.341990260956422</c:v>
                </c:pt>
                <c:pt idx="51">
                  <c:v>79.75255919110721</c:v>
                </c:pt>
                <c:pt idx="52">
                  <c:v>80.008820564516128</c:v>
                </c:pt>
                <c:pt idx="53">
                  <c:v>79.645296734975247</c:v>
                </c:pt>
                <c:pt idx="54">
                  <c:v>79.318931706406033</c:v>
                </c:pt>
                <c:pt idx="55">
                  <c:v>79.302195410162341</c:v>
                </c:pt>
                <c:pt idx="56">
                  <c:v>79.619107087105832</c:v>
                </c:pt>
                <c:pt idx="57">
                  <c:v>80.644138718062521</c:v>
                </c:pt>
                <c:pt idx="58">
                  <c:v>80.564183835182263</c:v>
                </c:pt>
                <c:pt idx="59">
                  <c:v>81.079694813105078</c:v>
                </c:pt>
                <c:pt idx="60">
                  <c:v>81.870737252354672</c:v>
                </c:pt>
                <c:pt idx="61">
                  <c:v>81.681020527099662</c:v>
                </c:pt>
                <c:pt idx="62">
                  <c:v>81.207018445915551</c:v>
                </c:pt>
                <c:pt idx="63">
                  <c:v>80.633466895630619</c:v>
                </c:pt>
                <c:pt idx="64">
                  <c:v>79.062984796773179</c:v>
                </c:pt>
                <c:pt idx="65">
                  <c:v>78.308891206970614</c:v>
                </c:pt>
                <c:pt idx="66">
                  <c:v>79.716951593712821</c:v>
                </c:pt>
                <c:pt idx="67">
                  <c:v>79.567472967060439</c:v>
                </c:pt>
                <c:pt idx="68">
                  <c:v>79.922149673530882</c:v>
                </c:pt>
                <c:pt idx="69">
                  <c:v>80.726026527892373</c:v>
                </c:pt>
                <c:pt idx="70">
                  <c:v>81.052295918367349</c:v>
                </c:pt>
                <c:pt idx="71">
                  <c:v>81.979711830458086</c:v>
                </c:pt>
                <c:pt idx="72">
                  <c:v>81.490044958253051</c:v>
                </c:pt>
                <c:pt idx="73">
                  <c:v>79.560535870790034</c:v>
                </c:pt>
                <c:pt idx="74">
                  <c:v>78.774752475247524</c:v>
                </c:pt>
                <c:pt idx="75">
                  <c:v>79.478032294404798</c:v>
                </c:pt>
                <c:pt idx="76">
                  <c:v>81.579287190082638</c:v>
                </c:pt>
                <c:pt idx="77">
                  <c:v>82.638342512457385</c:v>
                </c:pt>
                <c:pt idx="78">
                  <c:v>82.487575202720393</c:v>
                </c:pt>
                <c:pt idx="79">
                  <c:v>81.529237315453543</c:v>
                </c:pt>
                <c:pt idx="80">
                  <c:v>80.36549892500318</c:v>
                </c:pt>
                <c:pt idx="81">
                  <c:v>80.435606060606062</c:v>
                </c:pt>
                <c:pt idx="82">
                  <c:v>80.513566504332417</c:v>
                </c:pt>
                <c:pt idx="83">
                  <c:v>80.733070766103424</c:v>
                </c:pt>
                <c:pt idx="84">
                  <c:v>80.985870468640115</c:v>
                </c:pt>
                <c:pt idx="85">
                  <c:v>81.998434646491006</c:v>
                </c:pt>
                <c:pt idx="86">
                  <c:v>82.658845241233848</c:v>
                </c:pt>
                <c:pt idx="87">
                  <c:v>82.914240338803594</c:v>
                </c:pt>
                <c:pt idx="88">
                  <c:v>82.661051523326975</c:v>
                </c:pt>
                <c:pt idx="89">
                  <c:v>80.453852021357747</c:v>
                </c:pt>
                <c:pt idx="90">
                  <c:v>78.937569815067661</c:v>
                </c:pt>
                <c:pt idx="91">
                  <c:v>79.095589603622614</c:v>
                </c:pt>
                <c:pt idx="92">
                  <c:v>78.953560371517028</c:v>
                </c:pt>
                <c:pt idx="93">
                  <c:v>79.696988668377884</c:v>
                </c:pt>
                <c:pt idx="94">
                  <c:v>80.604517976455611</c:v>
                </c:pt>
                <c:pt idx="95">
                  <c:v>80.450410331446022</c:v>
                </c:pt>
                <c:pt idx="96">
                  <c:v>80.838131797824687</c:v>
                </c:pt>
                <c:pt idx="97">
                  <c:v>80.382957139234094</c:v>
                </c:pt>
                <c:pt idx="98">
                  <c:v>80.120937263794417</c:v>
                </c:pt>
                <c:pt idx="99">
                  <c:v>79.277542899776179</c:v>
                </c:pt>
                <c:pt idx="100">
                  <c:v>79.168734491315135</c:v>
                </c:pt>
                <c:pt idx="101">
                  <c:v>79.746914740337033</c:v>
                </c:pt>
                <c:pt idx="102">
                  <c:v>79.418553871108628</c:v>
                </c:pt>
                <c:pt idx="103">
                  <c:v>79.946037522745812</c:v>
                </c:pt>
                <c:pt idx="104">
                  <c:v>79.967334631572328</c:v>
                </c:pt>
                <c:pt idx="105">
                  <c:v>79.866992910471183</c:v>
                </c:pt>
                <c:pt idx="106">
                  <c:v>80.604517976455611</c:v>
                </c:pt>
                <c:pt idx="107">
                  <c:v>81.286248227864405</c:v>
                </c:pt>
                <c:pt idx="108">
                  <c:v>81.749837977965001</c:v>
                </c:pt>
                <c:pt idx="109">
                  <c:v>81.040343788082865</c:v>
                </c:pt>
                <c:pt idx="110">
                  <c:v>79.356852950359041</c:v>
                </c:pt>
                <c:pt idx="111">
                  <c:v>78.332719007249054</c:v>
                </c:pt>
                <c:pt idx="112">
                  <c:v>78.088064180292733</c:v>
                </c:pt>
                <c:pt idx="113">
                  <c:v>79.994956181829636</c:v>
                </c:pt>
                <c:pt idx="114">
                  <c:v>81.068799999999996</c:v>
                </c:pt>
                <c:pt idx="115">
                  <c:v>80.522535121734151</c:v>
                </c:pt>
                <c:pt idx="116">
                  <c:v>79.99242854438765</c:v>
                </c:pt>
                <c:pt idx="117">
                  <c:v>79.595415544560666</c:v>
                </c:pt>
                <c:pt idx="118">
                  <c:v>79.983624110348302</c:v>
                </c:pt>
                <c:pt idx="119">
                  <c:v>81.11381697000769</c:v>
                </c:pt>
                <c:pt idx="120">
                  <c:v>83.534109816971707</c:v>
                </c:pt>
                <c:pt idx="121">
                  <c:v>83.834460590638173</c:v>
                </c:pt>
                <c:pt idx="122">
                  <c:v>84.716097958076105</c:v>
                </c:pt>
                <c:pt idx="123">
                  <c:v>84.480313365300191</c:v>
                </c:pt>
                <c:pt idx="124">
                  <c:v>81.874189364461742</c:v>
                </c:pt>
                <c:pt idx="125">
                  <c:v>80.525914634146346</c:v>
                </c:pt>
                <c:pt idx="126">
                  <c:v>79.291858870465035</c:v>
                </c:pt>
                <c:pt idx="127">
                  <c:v>78.516057585825038</c:v>
                </c:pt>
                <c:pt idx="128">
                  <c:v>78.371407516580689</c:v>
                </c:pt>
                <c:pt idx="129">
                  <c:v>79.329469682806746</c:v>
                </c:pt>
                <c:pt idx="130">
                  <c:v>80.485486119913801</c:v>
                </c:pt>
                <c:pt idx="131">
                  <c:v>80.215121796899709</c:v>
                </c:pt>
                <c:pt idx="132">
                  <c:v>80.237779042559922</c:v>
                </c:pt>
                <c:pt idx="133">
                  <c:v>79.680250783699051</c:v>
                </c:pt>
                <c:pt idx="134">
                  <c:v>79.699248120300751</c:v>
                </c:pt>
                <c:pt idx="135">
                  <c:v>80.218392981127309</c:v>
                </c:pt>
                <c:pt idx="136">
                  <c:v>81.537170882808468</c:v>
                </c:pt>
                <c:pt idx="137">
                  <c:v>81.971904266389188</c:v>
                </c:pt>
                <c:pt idx="138">
                  <c:v>81.370145787640297</c:v>
                </c:pt>
                <c:pt idx="139">
                  <c:v>81.209129375560977</c:v>
                </c:pt>
                <c:pt idx="140">
                  <c:v>80.211880438895193</c:v>
                </c:pt>
                <c:pt idx="141">
                  <c:v>79.420001244632516</c:v>
                </c:pt>
                <c:pt idx="142">
                  <c:v>80.051391326146899</c:v>
                </c:pt>
                <c:pt idx="143">
                  <c:v>79.795828897100279</c:v>
                </c:pt>
                <c:pt idx="144">
                  <c:v>80.55907707910751</c:v>
                </c:pt>
                <c:pt idx="145">
                  <c:v>82.157487482931273</c:v>
                </c:pt>
                <c:pt idx="146">
                  <c:v>82.072389912452635</c:v>
                </c:pt>
                <c:pt idx="147">
                  <c:v>82.857899265338546</c:v>
                </c:pt>
                <c:pt idx="148">
                  <c:v>82.298850574712645</c:v>
                </c:pt>
                <c:pt idx="149">
                  <c:v>82.248209710268711</c:v>
                </c:pt>
                <c:pt idx="150">
                  <c:v>83.359989337598293</c:v>
                </c:pt>
                <c:pt idx="151">
                  <c:v>83.569993302076355</c:v>
                </c:pt>
                <c:pt idx="152">
                  <c:v>85.340531561461802</c:v>
                </c:pt>
                <c:pt idx="153">
                  <c:v>85.130832064239243</c:v>
                </c:pt>
                <c:pt idx="154">
                  <c:v>85.570025767811131</c:v>
                </c:pt>
                <c:pt idx="155">
                  <c:v>85.851552708536417</c:v>
                </c:pt>
                <c:pt idx="156">
                  <c:v>84.713983773096075</c:v>
                </c:pt>
                <c:pt idx="157">
                  <c:v>83.366600133067195</c:v>
                </c:pt>
                <c:pt idx="158">
                  <c:v>82.068965517241395</c:v>
                </c:pt>
                <c:pt idx="159">
                  <c:v>80.72794257765355</c:v>
                </c:pt>
                <c:pt idx="160">
                  <c:v>81.230474976091799</c:v>
                </c:pt>
                <c:pt idx="161">
                  <c:v>81.308232291001914</c:v>
                </c:pt>
                <c:pt idx="162">
                  <c:v>81.325648414985579</c:v>
                </c:pt>
                <c:pt idx="163">
                  <c:v>81.994423912338718</c:v>
                </c:pt>
                <c:pt idx="164">
                  <c:v>82.06581948517433</c:v>
                </c:pt>
                <c:pt idx="165">
                  <c:v>82.028400208441894</c:v>
                </c:pt>
                <c:pt idx="166">
                  <c:v>82.200247218788618</c:v>
                </c:pt>
                <c:pt idx="167">
                  <c:v>81.042411854879916</c:v>
                </c:pt>
                <c:pt idx="168">
                  <c:v>80.598149790901033</c:v>
                </c:pt>
                <c:pt idx="169">
                  <c:v>79.06573322594636</c:v>
                </c:pt>
                <c:pt idx="170">
                  <c:v>78.872105979943058</c:v>
                </c:pt>
                <c:pt idx="171">
                  <c:v>79.718522241769278</c:v>
                </c:pt>
                <c:pt idx="172">
                  <c:v>79.882701645960779</c:v>
                </c:pt>
                <c:pt idx="173">
                  <c:v>80.805052309262564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33-4B37-AD49-579810229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4400"/>
        <c:axId val="20382000"/>
      </c:scatterChart>
      <c:valAx>
        <c:axId val="2038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2000"/>
        <c:crosses val="autoZero"/>
        <c:crossBetween val="midCat"/>
      </c:valAx>
      <c:valAx>
        <c:axId val="203820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Vpv,</a:t>
            </a:r>
            <a:r>
              <a:rPr lang="en-US" b="1" baseline="0"/>
              <a:t> Ppv / Duty Cycle Chart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Ppv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Sheet1!$D$2:$D$175</c:f>
              <c:numCache>
                <c:formatCode>General</c:formatCode>
                <c:ptCount val="174"/>
                <c:pt idx="0">
                  <c:v>33.67</c:v>
                </c:pt>
                <c:pt idx="1">
                  <c:v>57</c:v>
                </c:pt>
                <c:pt idx="2">
                  <c:v>91.74</c:v>
                </c:pt>
                <c:pt idx="3">
                  <c:v>116.25</c:v>
                </c:pt>
                <c:pt idx="4">
                  <c:v>120.57</c:v>
                </c:pt>
                <c:pt idx="5">
                  <c:v>123.54</c:v>
                </c:pt>
                <c:pt idx="6">
                  <c:v>129.1</c:v>
                </c:pt>
                <c:pt idx="7">
                  <c:v>131.88</c:v>
                </c:pt>
                <c:pt idx="8">
                  <c:v>136.47999999999999</c:v>
                </c:pt>
                <c:pt idx="9">
                  <c:v>138.96</c:v>
                </c:pt>
                <c:pt idx="10">
                  <c:v>145.22999999999999</c:v>
                </c:pt>
                <c:pt idx="11">
                  <c:v>149.68</c:v>
                </c:pt>
                <c:pt idx="12">
                  <c:v>154.28</c:v>
                </c:pt>
                <c:pt idx="13">
                  <c:v>157.06</c:v>
                </c:pt>
                <c:pt idx="14">
                  <c:v>158.83000000000001</c:v>
                </c:pt>
                <c:pt idx="15">
                  <c:v>158.12</c:v>
                </c:pt>
                <c:pt idx="16">
                  <c:v>157.15</c:v>
                </c:pt>
                <c:pt idx="17">
                  <c:v>154.71</c:v>
                </c:pt>
                <c:pt idx="18">
                  <c:v>153.46</c:v>
                </c:pt>
                <c:pt idx="19">
                  <c:v>152.38</c:v>
                </c:pt>
                <c:pt idx="20">
                  <c:v>155.62</c:v>
                </c:pt>
                <c:pt idx="21">
                  <c:v>157.6</c:v>
                </c:pt>
                <c:pt idx="22">
                  <c:v>160.35</c:v>
                </c:pt>
                <c:pt idx="23">
                  <c:v>161.09</c:v>
                </c:pt>
                <c:pt idx="24">
                  <c:v>158.46</c:v>
                </c:pt>
                <c:pt idx="25">
                  <c:v>156.85</c:v>
                </c:pt>
                <c:pt idx="26">
                  <c:v>151.83000000000001</c:v>
                </c:pt>
                <c:pt idx="27">
                  <c:v>151.04</c:v>
                </c:pt>
                <c:pt idx="28">
                  <c:v>149.94</c:v>
                </c:pt>
                <c:pt idx="29">
                  <c:v>151.66999999999999</c:v>
                </c:pt>
                <c:pt idx="30">
                  <c:v>156.29</c:v>
                </c:pt>
                <c:pt idx="31">
                  <c:v>159.72999999999999</c:v>
                </c:pt>
                <c:pt idx="32">
                  <c:v>162.49</c:v>
                </c:pt>
                <c:pt idx="33">
                  <c:v>164.12</c:v>
                </c:pt>
                <c:pt idx="34">
                  <c:v>163.12</c:v>
                </c:pt>
                <c:pt idx="35">
                  <c:v>160.93</c:v>
                </c:pt>
                <c:pt idx="36">
                  <c:v>157.07</c:v>
                </c:pt>
                <c:pt idx="37">
                  <c:v>153.91</c:v>
                </c:pt>
                <c:pt idx="38">
                  <c:v>151.88</c:v>
                </c:pt>
                <c:pt idx="39">
                  <c:v>152.57</c:v>
                </c:pt>
                <c:pt idx="40">
                  <c:v>156.06</c:v>
                </c:pt>
                <c:pt idx="41">
                  <c:v>159.37</c:v>
                </c:pt>
                <c:pt idx="42">
                  <c:v>160.76</c:v>
                </c:pt>
                <c:pt idx="43">
                  <c:v>161.24</c:v>
                </c:pt>
                <c:pt idx="44">
                  <c:v>160.34</c:v>
                </c:pt>
                <c:pt idx="45">
                  <c:v>157.49</c:v>
                </c:pt>
                <c:pt idx="46">
                  <c:v>163.72</c:v>
                </c:pt>
                <c:pt idx="47">
                  <c:v>164.16</c:v>
                </c:pt>
                <c:pt idx="48">
                  <c:v>166.87</c:v>
                </c:pt>
                <c:pt idx="49">
                  <c:v>167.64</c:v>
                </c:pt>
                <c:pt idx="50">
                  <c:v>160.18</c:v>
                </c:pt>
                <c:pt idx="51">
                  <c:v>159.22999999999999</c:v>
                </c:pt>
                <c:pt idx="52">
                  <c:v>158.72</c:v>
                </c:pt>
                <c:pt idx="53">
                  <c:v>159.57</c:v>
                </c:pt>
                <c:pt idx="54">
                  <c:v>160.63</c:v>
                </c:pt>
                <c:pt idx="55">
                  <c:v>160.79</c:v>
                </c:pt>
                <c:pt idx="56">
                  <c:v>160.15</c:v>
                </c:pt>
                <c:pt idx="57">
                  <c:v>157.72999999999999</c:v>
                </c:pt>
                <c:pt idx="58">
                  <c:v>157.75</c:v>
                </c:pt>
                <c:pt idx="59">
                  <c:v>155.97</c:v>
                </c:pt>
                <c:pt idx="60">
                  <c:v>153.94999999999999</c:v>
                </c:pt>
                <c:pt idx="61">
                  <c:v>154.43</c:v>
                </c:pt>
                <c:pt idx="62">
                  <c:v>155.59</c:v>
                </c:pt>
                <c:pt idx="63">
                  <c:v>157.22999999999999</c:v>
                </c:pt>
                <c:pt idx="64">
                  <c:v>161.15</c:v>
                </c:pt>
                <c:pt idx="65">
                  <c:v>162.97</c:v>
                </c:pt>
                <c:pt idx="66">
                  <c:v>159.69</c:v>
                </c:pt>
                <c:pt idx="67">
                  <c:v>159.99</c:v>
                </c:pt>
                <c:pt idx="68">
                  <c:v>159.28</c:v>
                </c:pt>
                <c:pt idx="69">
                  <c:v>157.57</c:v>
                </c:pt>
                <c:pt idx="70">
                  <c:v>156.80000000000001</c:v>
                </c:pt>
                <c:pt idx="71">
                  <c:v>154.77000000000001</c:v>
                </c:pt>
                <c:pt idx="72">
                  <c:v>155.69999999999999</c:v>
                </c:pt>
                <c:pt idx="73">
                  <c:v>159.74</c:v>
                </c:pt>
                <c:pt idx="74">
                  <c:v>161.6</c:v>
                </c:pt>
                <c:pt idx="75">
                  <c:v>159.78</c:v>
                </c:pt>
                <c:pt idx="76">
                  <c:v>154.88</c:v>
                </c:pt>
                <c:pt idx="77">
                  <c:v>152.52000000000001</c:v>
                </c:pt>
                <c:pt idx="78">
                  <c:v>152.91999999999999</c:v>
                </c:pt>
                <c:pt idx="79">
                  <c:v>155.11000000000001</c:v>
                </c:pt>
                <c:pt idx="80">
                  <c:v>158.13999999999999</c:v>
                </c:pt>
                <c:pt idx="81">
                  <c:v>158.4</c:v>
                </c:pt>
                <c:pt idx="82">
                  <c:v>158.11000000000001</c:v>
                </c:pt>
                <c:pt idx="83">
                  <c:v>157.41999999999999</c:v>
                </c:pt>
                <c:pt idx="84">
                  <c:v>156.41</c:v>
                </c:pt>
                <c:pt idx="85">
                  <c:v>153.32</c:v>
                </c:pt>
                <c:pt idx="86">
                  <c:v>151.72</c:v>
                </c:pt>
                <c:pt idx="87">
                  <c:v>151.12</c:v>
                </c:pt>
                <c:pt idx="88">
                  <c:v>151.97</c:v>
                </c:pt>
                <c:pt idx="89">
                  <c:v>157.32</c:v>
                </c:pt>
                <c:pt idx="90">
                  <c:v>161.13999999999999</c:v>
                </c:pt>
                <c:pt idx="91">
                  <c:v>161.21</c:v>
                </c:pt>
                <c:pt idx="92">
                  <c:v>161.5</c:v>
                </c:pt>
                <c:pt idx="93">
                  <c:v>159.72999999999999</c:v>
                </c:pt>
                <c:pt idx="94">
                  <c:v>157.15</c:v>
                </c:pt>
                <c:pt idx="95">
                  <c:v>157.19</c:v>
                </c:pt>
                <c:pt idx="96">
                  <c:v>156.30000000000001</c:v>
                </c:pt>
                <c:pt idx="97">
                  <c:v>157.72</c:v>
                </c:pt>
                <c:pt idx="98">
                  <c:v>158.76</c:v>
                </c:pt>
                <c:pt idx="99">
                  <c:v>160.84</c:v>
                </c:pt>
                <c:pt idx="100">
                  <c:v>161.19999999999999</c:v>
                </c:pt>
                <c:pt idx="101">
                  <c:v>159.63</c:v>
                </c:pt>
                <c:pt idx="102">
                  <c:v>160.29</c:v>
                </c:pt>
                <c:pt idx="103">
                  <c:v>159.37</c:v>
                </c:pt>
                <c:pt idx="104">
                  <c:v>159.19</c:v>
                </c:pt>
                <c:pt idx="105">
                  <c:v>159.38999999999999</c:v>
                </c:pt>
                <c:pt idx="106">
                  <c:v>157.15</c:v>
                </c:pt>
                <c:pt idx="107">
                  <c:v>155.18</c:v>
                </c:pt>
                <c:pt idx="108">
                  <c:v>154.30000000000001</c:v>
                </c:pt>
                <c:pt idx="109">
                  <c:v>155.91</c:v>
                </c:pt>
                <c:pt idx="110">
                  <c:v>160.15</c:v>
                </c:pt>
                <c:pt idx="111">
                  <c:v>162.78</c:v>
                </c:pt>
                <c:pt idx="112">
                  <c:v>163.29</c:v>
                </c:pt>
                <c:pt idx="113">
                  <c:v>158.61000000000001</c:v>
                </c:pt>
                <c:pt idx="114">
                  <c:v>156.25</c:v>
                </c:pt>
                <c:pt idx="115">
                  <c:v>157.31</c:v>
                </c:pt>
                <c:pt idx="116">
                  <c:v>158.49</c:v>
                </c:pt>
                <c:pt idx="117">
                  <c:v>159.66999999999999</c:v>
                </c:pt>
                <c:pt idx="118">
                  <c:v>158.77000000000001</c:v>
                </c:pt>
                <c:pt idx="119">
                  <c:v>156.04</c:v>
                </c:pt>
                <c:pt idx="120">
                  <c:v>150.25</c:v>
                </c:pt>
                <c:pt idx="121">
                  <c:v>149.33000000000001</c:v>
                </c:pt>
                <c:pt idx="122">
                  <c:v>147.41</c:v>
                </c:pt>
                <c:pt idx="123">
                  <c:v>148.07</c:v>
                </c:pt>
                <c:pt idx="124">
                  <c:v>154.19999999999999</c:v>
                </c:pt>
                <c:pt idx="125">
                  <c:v>157.44</c:v>
                </c:pt>
                <c:pt idx="126">
                  <c:v>160.41999999999999</c:v>
                </c:pt>
                <c:pt idx="127">
                  <c:v>162.54</c:v>
                </c:pt>
                <c:pt idx="128">
                  <c:v>162.84</c:v>
                </c:pt>
                <c:pt idx="129">
                  <c:v>160.47</c:v>
                </c:pt>
                <c:pt idx="130">
                  <c:v>157.78</c:v>
                </c:pt>
                <c:pt idx="131">
                  <c:v>158.05000000000001</c:v>
                </c:pt>
                <c:pt idx="132">
                  <c:v>158.13</c:v>
                </c:pt>
                <c:pt idx="133">
                  <c:v>159.5</c:v>
                </c:pt>
                <c:pt idx="134">
                  <c:v>159.6</c:v>
                </c:pt>
                <c:pt idx="135">
                  <c:v>158.43</c:v>
                </c:pt>
                <c:pt idx="136">
                  <c:v>154.96</c:v>
                </c:pt>
                <c:pt idx="137">
                  <c:v>153.76</c:v>
                </c:pt>
                <c:pt idx="138">
                  <c:v>155.02000000000001</c:v>
                </c:pt>
                <c:pt idx="139">
                  <c:v>155.97999999999999</c:v>
                </c:pt>
                <c:pt idx="140">
                  <c:v>158.58000000000001</c:v>
                </c:pt>
                <c:pt idx="141">
                  <c:v>160.69</c:v>
                </c:pt>
                <c:pt idx="142">
                  <c:v>159.56</c:v>
                </c:pt>
                <c:pt idx="143">
                  <c:v>159.66999999999999</c:v>
                </c:pt>
                <c:pt idx="144">
                  <c:v>157.76</c:v>
                </c:pt>
                <c:pt idx="145">
                  <c:v>153.79</c:v>
                </c:pt>
                <c:pt idx="146">
                  <c:v>153.06</c:v>
                </c:pt>
                <c:pt idx="147">
                  <c:v>151.09</c:v>
                </c:pt>
                <c:pt idx="148">
                  <c:v>152.25</c:v>
                </c:pt>
                <c:pt idx="149">
                  <c:v>152.21</c:v>
                </c:pt>
                <c:pt idx="150">
                  <c:v>150.06</c:v>
                </c:pt>
                <c:pt idx="151">
                  <c:v>149.30000000000001</c:v>
                </c:pt>
                <c:pt idx="152">
                  <c:v>144.47999999999999</c:v>
                </c:pt>
                <c:pt idx="153">
                  <c:v>144.46</c:v>
                </c:pt>
                <c:pt idx="154">
                  <c:v>143.59</c:v>
                </c:pt>
                <c:pt idx="155">
                  <c:v>143.62</c:v>
                </c:pt>
                <c:pt idx="156">
                  <c:v>146.66999999999999</c:v>
                </c:pt>
                <c:pt idx="157">
                  <c:v>150.30000000000001</c:v>
                </c:pt>
                <c:pt idx="158">
                  <c:v>153.69999999999999</c:v>
                </c:pt>
                <c:pt idx="159">
                  <c:v>157.43</c:v>
                </c:pt>
                <c:pt idx="160">
                  <c:v>156.85</c:v>
                </c:pt>
                <c:pt idx="161">
                  <c:v>156.69999999999999</c:v>
                </c:pt>
                <c:pt idx="162">
                  <c:v>156.15</c:v>
                </c:pt>
                <c:pt idx="163">
                  <c:v>154.22999999999999</c:v>
                </c:pt>
                <c:pt idx="164">
                  <c:v>153.44999999999999</c:v>
                </c:pt>
                <c:pt idx="165">
                  <c:v>153.52000000000001</c:v>
                </c:pt>
                <c:pt idx="166">
                  <c:v>153.71</c:v>
                </c:pt>
                <c:pt idx="167">
                  <c:v>156.56</c:v>
                </c:pt>
                <c:pt idx="168">
                  <c:v>157.82</c:v>
                </c:pt>
                <c:pt idx="169">
                  <c:v>161.41</c:v>
                </c:pt>
                <c:pt idx="170">
                  <c:v>161.54</c:v>
                </c:pt>
                <c:pt idx="171">
                  <c:v>159.16</c:v>
                </c:pt>
                <c:pt idx="172">
                  <c:v>158.57</c:v>
                </c:pt>
                <c:pt idx="173">
                  <c:v>156.76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FE-4C56-9F49-89CE3C77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643888"/>
        <c:axId val="1943646768"/>
      </c:scatterChart>
      <c:scatterChart>
        <c:scatterStyle val="smoothMarker"/>
        <c:varyColors val="0"/>
        <c:ser>
          <c:idx val="0"/>
          <c:order val="0"/>
          <c:tx>
            <c:v>Vpv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Sheet1!$B$2:$B$175</c:f>
              <c:numCache>
                <c:formatCode>General</c:formatCode>
                <c:ptCount val="174"/>
                <c:pt idx="0">
                  <c:v>5.64</c:v>
                </c:pt>
                <c:pt idx="1">
                  <c:v>9.36</c:v>
                </c:pt>
                <c:pt idx="2">
                  <c:v>14.92</c:v>
                </c:pt>
                <c:pt idx="3">
                  <c:v>18.600000000000001</c:v>
                </c:pt>
                <c:pt idx="4">
                  <c:v>18.43</c:v>
                </c:pt>
                <c:pt idx="5">
                  <c:v>18.37</c:v>
                </c:pt>
                <c:pt idx="6">
                  <c:v>18.190000000000001</c:v>
                </c:pt>
                <c:pt idx="7">
                  <c:v>18.12</c:v>
                </c:pt>
                <c:pt idx="8">
                  <c:v>17.989999999999998</c:v>
                </c:pt>
                <c:pt idx="9">
                  <c:v>17.87</c:v>
                </c:pt>
                <c:pt idx="10">
                  <c:v>17.739999999999998</c:v>
                </c:pt>
                <c:pt idx="11">
                  <c:v>17.61</c:v>
                </c:pt>
                <c:pt idx="12">
                  <c:v>17.48</c:v>
                </c:pt>
                <c:pt idx="13">
                  <c:v>17.37</c:v>
                </c:pt>
                <c:pt idx="14">
                  <c:v>17.37</c:v>
                </c:pt>
                <c:pt idx="15">
                  <c:v>17.39</c:v>
                </c:pt>
                <c:pt idx="16">
                  <c:v>17.399999999999999</c:v>
                </c:pt>
                <c:pt idx="17">
                  <c:v>17.489999999999998</c:v>
                </c:pt>
                <c:pt idx="18">
                  <c:v>17.46</c:v>
                </c:pt>
                <c:pt idx="19">
                  <c:v>17.420000000000002</c:v>
                </c:pt>
                <c:pt idx="20">
                  <c:v>17.41</c:v>
                </c:pt>
                <c:pt idx="21">
                  <c:v>17.32</c:v>
                </c:pt>
                <c:pt idx="22">
                  <c:v>17.32</c:v>
                </c:pt>
                <c:pt idx="23">
                  <c:v>17.36</c:v>
                </c:pt>
                <c:pt idx="24">
                  <c:v>17.399999999999999</c:v>
                </c:pt>
                <c:pt idx="25">
                  <c:v>17.45</c:v>
                </c:pt>
                <c:pt idx="26">
                  <c:v>17.55</c:v>
                </c:pt>
                <c:pt idx="27">
                  <c:v>17.62</c:v>
                </c:pt>
                <c:pt idx="28">
                  <c:v>17.64</c:v>
                </c:pt>
                <c:pt idx="29">
                  <c:v>17.57</c:v>
                </c:pt>
                <c:pt idx="30">
                  <c:v>17.47</c:v>
                </c:pt>
                <c:pt idx="31">
                  <c:v>17.34</c:v>
                </c:pt>
                <c:pt idx="32">
                  <c:v>17.28</c:v>
                </c:pt>
                <c:pt idx="33">
                  <c:v>17.21</c:v>
                </c:pt>
                <c:pt idx="34">
                  <c:v>17.25</c:v>
                </c:pt>
                <c:pt idx="35">
                  <c:v>17.29</c:v>
                </c:pt>
                <c:pt idx="36">
                  <c:v>17.32</c:v>
                </c:pt>
                <c:pt idx="37">
                  <c:v>17.46</c:v>
                </c:pt>
                <c:pt idx="38">
                  <c:v>17.5</c:v>
                </c:pt>
                <c:pt idx="39">
                  <c:v>17.510000000000002</c:v>
                </c:pt>
                <c:pt idx="40">
                  <c:v>17.45</c:v>
                </c:pt>
                <c:pt idx="41">
                  <c:v>17.350000000000001</c:v>
                </c:pt>
                <c:pt idx="42">
                  <c:v>17.29</c:v>
                </c:pt>
                <c:pt idx="43">
                  <c:v>17.3</c:v>
                </c:pt>
                <c:pt idx="44">
                  <c:v>17.309999999999999</c:v>
                </c:pt>
                <c:pt idx="45">
                  <c:v>17.41</c:v>
                </c:pt>
                <c:pt idx="46">
                  <c:v>17.399999999999999</c:v>
                </c:pt>
                <c:pt idx="47">
                  <c:v>17.350000000000001</c:v>
                </c:pt>
                <c:pt idx="48">
                  <c:v>17.350000000000001</c:v>
                </c:pt>
                <c:pt idx="49">
                  <c:v>17.3</c:v>
                </c:pt>
                <c:pt idx="50">
                  <c:v>17.41</c:v>
                </c:pt>
                <c:pt idx="51">
                  <c:v>17.43</c:v>
                </c:pt>
                <c:pt idx="52">
                  <c:v>17.43</c:v>
                </c:pt>
                <c:pt idx="53">
                  <c:v>17.440000000000001</c:v>
                </c:pt>
                <c:pt idx="54">
                  <c:v>17.37</c:v>
                </c:pt>
                <c:pt idx="55">
                  <c:v>17.329999999999998</c:v>
                </c:pt>
                <c:pt idx="56">
                  <c:v>17.309999999999999</c:v>
                </c:pt>
                <c:pt idx="57">
                  <c:v>17.3</c:v>
                </c:pt>
                <c:pt idx="58">
                  <c:v>17.350000000000001</c:v>
                </c:pt>
                <c:pt idx="59">
                  <c:v>17.48</c:v>
                </c:pt>
                <c:pt idx="60">
                  <c:v>17.55</c:v>
                </c:pt>
                <c:pt idx="61">
                  <c:v>17.53</c:v>
                </c:pt>
                <c:pt idx="62">
                  <c:v>17.45</c:v>
                </c:pt>
                <c:pt idx="63">
                  <c:v>17.34</c:v>
                </c:pt>
                <c:pt idx="64">
                  <c:v>17.23</c:v>
                </c:pt>
                <c:pt idx="65">
                  <c:v>17.23</c:v>
                </c:pt>
                <c:pt idx="66">
                  <c:v>17.29</c:v>
                </c:pt>
                <c:pt idx="67">
                  <c:v>17.309999999999999</c:v>
                </c:pt>
                <c:pt idx="68">
                  <c:v>17.3</c:v>
                </c:pt>
                <c:pt idx="69">
                  <c:v>17.27</c:v>
                </c:pt>
                <c:pt idx="70">
                  <c:v>17.32</c:v>
                </c:pt>
                <c:pt idx="71">
                  <c:v>17.39</c:v>
                </c:pt>
                <c:pt idx="72">
                  <c:v>17.41</c:v>
                </c:pt>
                <c:pt idx="73">
                  <c:v>17.39</c:v>
                </c:pt>
                <c:pt idx="74">
                  <c:v>17.36</c:v>
                </c:pt>
                <c:pt idx="75">
                  <c:v>17.399999999999999</c:v>
                </c:pt>
                <c:pt idx="76">
                  <c:v>17.48</c:v>
                </c:pt>
                <c:pt idx="77">
                  <c:v>17.54</c:v>
                </c:pt>
                <c:pt idx="78">
                  <c:v>17.510000000000002</c:v>
                </c:pt>
                <c:pt idx="79">
                  <c:v>17.45</c:v>
                </c:pt>
                <c:pt idx="80">
                  <c:v>17.39</c:v>
                </c:pt>
                <c:pt idx="81">
                  <c:v>17.32</c:v>
                </c:pt>
                <c:pt idx="82">
                  <c:v>17.34</c:v>
                </c:pt>
                <c:pt idx="83">
                  <c:v>17.36</c:v>
                </c:pt>
                <c:pt idx="84">
                  <c:v>17.38</c:v>
                </c:pt>
                <c:pt idx="85">
                  <c:v>17.54</c:v>
                </c:pt>
                <c:pt idx="86">
                  <c:v>17.61</c:v>
                </c:pt>
                <c:pt idx="87">
                  <c:v>17.61</c:v>
                </c:pt>
                <c:pt idx="88">
                  <c:v>17.57</c:v>
                </c:pt>
                <c:pt idx="89">
                  <c:v>17.41</c:v>
                </c:pt>
                <c:pt idx="90">
                  <c:v>17.34</c:v>
                </c:pt>
                <c:pt idx="91">
                  <c:v>17.27</c:v>
                </c:pt>
                <c:pt idx="92">
                  <c:v>17.309999999999999</c:v>
                </c:pt>
                <c:pt idx="93">
                  <c:v>17.34</c:v>
                </c:pt>
                <c:pt idx="94">
                  <c:v>17.43</c:v>
                </c:pt>
                <c:pt idx="95">
                  <c:v>17.48</c:v>
                </c:pt>
                <c:pt idx="96">
                  <c:v>17.510000000000002</c:v>
                </c:pt>
                <c:pt idx="97">
                  <c:v>17.39</c:v>
                </c:pt>
                <c:pt idx="98">
                  <c:v>17.329999999999998</c:v>
                </c:pt>
                <c:pt idx="99">
                  <c:v>17.23</c:v>
                </c:pt>
                <c:pt idx="100">
                  <c:v>17.21</c:v>
                </c:pt>
                <c:pt idx="101">
                  <c:v>17.29</c:v>
                </c:pt>
                <c:pt idx="102">
                  <c:v>17.29</c:v>
                </c:pt>
                <c:pt idx="103">
                  <c:v>17.27</c:v>
                </c:pt>
                <c:pt idx="104">
                  <c:v>17.32</c:v>
                </c:pt>
                <c:pt idx="105">
                  <c:v>17.28</c:v>
                </c:pt>
                <c:pt idx="106">
                  <c:v>17.37</c:v>
                </c:pt>
                <c:pt idx="107">
                  <c:v>17.47</c:v>
                </c:pt>
                <c:pt idx="108">
                  <c:v>17.43</c:v>
                </c:pt>
                <c:pt idx="109">
                  <c:v>17.38</c:v>
                </c:pt>
                <c:pt idx="110">
                  <c:v>17.29</c:v>
                </c:pt>
                <c:pt idx="111">
                  <c:v>17.28</c:v>
                </c:pt>
                <c:pt idx="112">
                  <c:v>17.309999999999999</c:v>
                </c:pt>
                <c:pt idx="113">
                  <c:v>17.38</c:v>
                </c:pt>
                <c:pt idx="114">
                  <c:v>17.420000000000002</c:v>
                </c:pt>
                <c:pt idx="115">
                  <c:v>17.37</c:v>
                </c:pt>
                <c:pt idx="116">
                  <c:v>17.36</c:v>
                </c:pt>
                <c:pt idx="117">
                  <c:v>17.37</c:v>
                </c:pt>
                <c:pt idx="118">
                  <c:v>17.38</c:v>
                </c:pt>
                <c:pt idx="119">
                  <c:v>17.41</c:v>
                </c:pt>
                <c:pt idx="120">
                  <c:v>17.52</c:v>
                </c:pt>
                <c:pt idx="121">
                  <c:v>17.59</c:v>
                </c:pt>
                <c:pt idx="122">
                  <c:v>17.63</c:v>
                </c:pt>
                <c:pt idx="123">
                  <c:v>17.600000000000001</c:v>
                </c:pt>
                <c:pt idx="124">
                  <c:v>17.38</c:v>
                </c:pt>
                <c:pt idx="125">
                  <c:v>17.309999999999999</c:v>
                </c:pt>
                <c:pt idx="126">
                  <c:v>17.22</c:v>
                </c:pt>
                <c:pt idx="127">
                  <c:v>17.16</c:v>
                </c:pt>
                <c:pt idx="128">
                  <c:v>17.190000000000001</c:v>
                </c:pt>
                <c:pt idx="129">
                  <c:v>17.21</c:v>
                </c:pt>
                <c:pt idx="130">
                  <c:v>17.28</c:v>
                </c:pt>
                <c:pt idx="131">
                  <c:v>17.34</c:v>
                </c:pt>
                <c:pt idx="132">
                  <c:v>17.37</c:v>
                </c:pt>
                <c:pt idx="133">
                  <c:v>17.350000000000001</c:v>
                </c:pt>
                <c:pt idx="134">
                  <c:v>17.37</c:v>
                </c:pt>
                <c:pt idx="135">
                  <c:v>17.36</c:v>
                </c:pt>
                <c:pt idx="136">
                  <c:v>17.41</c:v>
                </c:pt>
                <c:pt idx="137">
                  <c:v>17.489999999999998</c:v>
                </c:pt>
                <c:pt idx="138">
                  <c:v>17.489999999999998</c:v>
                </c:pt>
                <c:pt idx="139">
                  <c:v>17.47</c:v>
                </c:pt>
                <c:pt idx="140">
                  <c:v>17.420000000000002</c:v>
                </c:pt>
                <c:pt idx="141">
                  <c:v>17.34</c:v>
                </c:pt>
                <c:pt idx="142">
                  <c:v>17.170000000000002</c:v>
                </c:pt>
                <c:pt idx="143">
                  <c:v>17.13</c:v>
                </c:pt>
                <c:pt idx="144">
                  <c:v>17.149999999999999</c:v>
                </c:pt>
                <c:pt idx="145">
                  <c:v>17.18</c:v>
                </c:pt>
                <c:pt idx="146">
                  <c:v>17.45</c:v>
                </c:pt>
                <c:pt idx="147">
                  <c:v>17.48</c:v>
                </c:pt>
                <c:pt idx="148">
                  <c:v>17.54</c:v>
                </c:pt>
                <c:pt idx="149">
                  <c:v>17.600000000000001</c:v>
                </c:pt>
                <c:pt idx="150">
                  <c:v>17.600000000000001</c:v>
                </c:pt>
                <c:pt idx="151">
                  <c:v>17.649999999999999</c:v>
                </c:pt>
                <c:pt idx="152">
                  <c:v>17.79</c:v>
                </c:pt>
                <c:pt idx="153">
                  <c:v>17.88</c:v>
                </c:pt>
                <c:pt idx="154">
                  <c:v>17.86</c:v>
                </c:pt>
                <c:pt idx="155">
                  <c:v>17.82</c:v>
                </c:pt>
                <c:pt idx="156">
                  <c:v>17.68</c:v>
                </c:pt>
                <c:pt idx="157">
                  <c:v>17.5</c:v>
                </c:pt>
                <c:pt idx="158">
                  <c:v>17.45</c:v>
                </c:pt>
                <c:pt idx="159">
                  <c:v>17.39</c:v>
                </c:pt>
                <c:pt idx="160">
                  <c:v>17.3</c:v>
                </c:pt>
                <c:pt idx="161">
                  <c:v>17.27</c:v>
                </c:pt>
                <c:pt idx="162">
                  <c:v>17.27</c:v>
                </c:pt>
                <c:pt idx="163">
                  <c:v>17.36</c:v>
                </c:pt>
                <c:pt idx="164">
                  <c:v>17.5</c:v>
                </c:pt>
                <c:pt idx="165">
                  <c:v>17.55</c:v>
                </c:pt>
                <c:pt idx="166">
                  <c:v>17.5</c:v>
                </c:pt>
                <c:pt idx="167">
                  <c:v>17.399999999999999</c:v>
                </c:pt>
                <c:pt idx="168">
                  <c:v>17.350000000000001</c:v>
                </c:pt>
                <c:pt idx="169">
                  <c:v>17.3</c:v>
                </c:pt>
                <c:pt idx="170">
                  <c:v>17.34</c:v>
                </c:pt>
                <c:pt idx="171">
                  <c:v>17.399999999999999</c:v>
                </c:pt>
                <c:pt idx="172">
                  <c:v>17.36</c:v>
                </c:pt>
                <c:pt idx="173">
                  <c:v>17.350000000000001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E-4C56-9F49-89CE3C77B872}"/>
            </c:ext>
          </c:extLst>
        </c:ser>
        <c:ser>
          <c:idx val="2"/>
          <c:order val="2"/>
          <c:tx>
            <c:v>Duty Cycle 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Sheet1!$H$2:$H$175</c:f>
              <c:numCache>
                <c:formatCode>General</c:formatCode>
                <c:ptCount val="174"/>
                <c:pt idx="0">
                  <c:v>41.38</c:v>
                </c:pt>
                <c:pt idx="1">
                  <c:v>42.95</c:v>
                </c:pt>
                <c:pt idx="2">
                  <c:v>44.51</c:v>
                </c:pt>
                <c:pt idx="3">
                  <c:v>46.08</c:v>
                </c:pt>
                <c:pt idx="4">
                  <c:v>47.65</c:v>
                </c:pt>
                <c:pt idx="5">
                  <c:v>49.22</c:v>
                </c:pt>
                <c:pt idx="6">
                  <c:v>50.78</c:v>
                </c:pt>
                <c:pt idx="7">
                  <c:v>52.35</c:v>
                </c:pt>
                <c:pt idx="8">
                  <c:v>53.92</c:v>
                </c:pt>
                <c:pt idx="9">
                  <c:v>55.49</c:v>
                </c:pt>
                <c:pt idx="10">
                  <c:v>57.05</c:v>
                </c:pt>
                <c:pt idx="11">
                  <c:v>58.62</c:v>
                </c:pt>
                <c:pt idx="12">
                  <c:v>59.87</c:v>
                </c:pt>
                <c:pt idx="13">
                  <c:v>59.87</c:v>
                </c:pt>
                <c:pt idx="14">
                  <c:v>58.31</c:v>
                </c:pt>
                <c:pt idx="15">
                  <c:v>56.74</c:v>
                </c:pt>
                <c:pt idx="16">
                  <c:v>55.17</c:v>
                </c:pt>
                <c:pt idx="17">
                  <c:v>56.74</c:v>
                </c:pt>
                <c:pt idx="18">
                  <c:v>58.31</c:v>
                </c:pt>
                <c:pt idx="19">
                  <c:v>59.87</c:v>
                </c:pt>
                <c:pt idx="20">
                  <c:v>59.87</c:v>
                </c:pt>
                <c:pt idx="21">
                  <c:v>59.87</c:v>
                </c:pt>
                <c:pt idx="22">
                  <c:v>58.31</c:v>
                </c:pt>
                <c:pt idx="23">
                  <c:v>56.74</c:v>
                </c:pt>
                <c:pt idx="24">
                  <c:v>55.17</c:v>
                </c:pt>
                <c:pt idx="25">
                  <c:v>53.61</c:v>
                </c:pt>
                <c:pt idx="26">
                  <c:v>55.17</c:v>
                </c:pt>
                <c:pt idx="27">
                  <c:v>56.74</c:v>
                </c:pt>
                <c:pt idx="28">
                  <c:v>58.31</c:v>
                </c:pt>
                <c:pt idx="29">
                  <c:v>59.87</c:v>
                </c:pt>
                <c:pt idx="30">
                  <c:v>59.87</c:v>
                </c:pt>
                <c:pt idx="31">
                  <c:v>59.87</c:v>
                </c:pt>
                <c:pt idx="32">
                  <c:v>59.87</c:v>
                </c:pt>
                <c:pt idx="33">
                  <c:v>59.87</c:v>
                </c:pt>
                <c:pt idx="34">
                  <c:v>58.31</c:v>
                </c:pt>
                <c:pt idx="35">
                  <c:v>56.74</c:v>
                </c:pt>
                <c:pt idx="36">
                  <c:v>55.17</c:v>
                </c:pt>
                <c:pt idx="37">
                  <c:v>56.74</c:v>
                </c:pt>
                <c:pt idx="38">
                  <c:v>58.31</c:v>
                </c:pt>
                <c:pt idx="39">
                  <c:v>59.87</c:v>
                </c:pt>
                <c:pt idx="40">
                  <c:v>59.87</c:v>
                </c:pt>
                <c:pt idx="41">
                  <c:v>59.87</c:v>
                </c:pt>
                <c:pt idx="42">
                  <c:v>59.87</c:v>
                </c:pt>
                <c:pt idx="43">
                  <c:v>58.31</c:v>
                </c:pt>
                <c:pt idx="44">
                  <c:v>56.74</c:v>
                </c:pt>
                <c:pt idx="45">
                  <c:v>58.31</c:v>
                </c:pt>
                <c:pt idx="46">
                  <c:v>59.87</c:v>
                </c:pt>
                <c:pt idx="47">
                  <c:v>59.87</c:v>
                </c:pt>
                <c:pt idx="48">
                  <c:v>58.31</c:v>
                </c:pt>
                <c:pt idx="49">
                  <c:v>56.74</c:v>
                </c:pt>
                <c:pt idx="50">
                  <c:v>58.31</c:v>
                </c:pt>
                <c:pt idx="51">
                  <c:v>59.87</c:v>
                </c:pt>
                <c:pt idx="52">
                  <c:v>59.87</c:v>
                </c:pt>
                <c:pt idx="53">
                  <c:v>58.31</c:v>
                </c:pt>
                <c:pt idx="54">
                  <c:v>59.87</c:v>
                </c:pt>
                <c:pt idx="55">
                  <c:v>59.87</c:v>
                </c:pt>
                <c:pt idx="56">
                  <c:v>58.31</c:v>
                </c:pt>
                <c:pt idx="57">
                  <c:v>56.74</c:v>
                </c:pt>
                <c:pt idx="58">
                  <c:v>55.17</c:v>
                </c:pt>
                <c:pt idx="59">
                  <c:v>56.74</c:v>
                </c:pt>
                <c:pt idx="60">
                  <c:v>58.31</c:v>
                </c:pt>
                <c:pt idx="61">
                  <c:v>59.87</c:v>
                </c:pt>
                <c:pt idx="62">
                  <c:v>59.87</c:v>
                </c:pt>
                <c:pt idx="63">
                  <c:v>59.87</c:v>
                </c:pt>
                <c:pt idx="64">
                  <c:v>59.87</c:v>
                </c:pt>
                <c:pt idx="65">
                  <c:v>58.31</c:v>
                </c:pt>
                <c:pt idx="66">
                  <c:v>59.87</c:v>
                </c:pt>
                <c:pt idx="67">
                  <c:v>59.87</c:v>
                </c:pt>
                <c:pt idx="68">
                  <c:v>58.31</c:v>
                </c:pt>
                <c:pt idx="69">
                  <c:v>56.74</c:v>
                </c:pt>
                <c:pt idx="70">
                  <c:v>58.31</c:v>
                </c:pt>
                <c:pt idx="71">
                  <c:v>59.87</c:v>
                </c:pt>
                <c:pt idx="72">
                  <c:v>59.87</c:v>
                </c:pt>
                <c:pt idx="73">
                  <c:v>58.31</c:v>
                </c:pt>
                <c:pt idx="74">
                  <c:v>56.74</c:v>
                </c:pt>
                <c:pt idx="75">
                  <c:v>55.17</c:v>
                </c:pt>
                <c:pt idx="76">
                  <c:v>56.74</c:v>
                </c:pt>
                <c:pt idx="77">
                  <c:v>58.31</c:v>
                </c:pt>
                <c:pt idx="78">
                  <c:v>59.87</c:v>
                </c:pt>
                <c:pt idx="79">
                  <c:v>59.87</c:v>
                </c:pt>
                <c:pt idx="80">
                  <c:v>59.87</c:v>
                </c:pt>
                <c:pt idx="81">
                  <c:v>58.31</c:v>
                </c:pt>
                <c:pt idx="82">
                  <c:v>56.74</c:v>
                </c:pt>
                <c:pt idx="83">
                  <c:v>55.17</c:v>
                </c:pt>
                <c:pt idx="84">
                  <c:v>53.61</c:v>
                </c:pt>
                <c:pt idx="85">
                  <c:v>55.17</c:v>
                </c:pt>
                <c:pt idx="86">
                  <c:v>56.74</c:v>
                </c:pt>
                <c:pt idx="87">
                  <c:v>58.31</c:v>
                </c:pt>
                <c:pt idx="88">
                  <c:v>59.87</c:v>
                </c:pt>
                <c:pt idx="89">
                  <c:v>59.87</c:v>
                </c:pt>
                <c:pt idx="90">
                  <c:v>59.87</c:v>
                </c:pt>
                <c:pt idx="91">
                  <c:v>58.31</c:v>
                </c:pt>
                <c:pt idx="92">
                  <c:v>56.74</c:v>
                </c:pt>
                <c:pt idx="93">
                  <c:v>55.17</c:v>
                </c:pt>
                <c:pt idx="94">
                  <c:v>56.74</c:v>
                </c:pt>
                <c:pt idx="95">
                  <c:v>58.31</c:v>
                </c:pt>
                <c:pt idx="96">
                  <c:v>59.87</c:v>
                </c:pt>
                <c:pt idx="97">
                  <c:v>59.87</c:v>
                </c:pt>
                <c:pt idx="98">
                  <c:v>59.87</c:v>
                </c:pt>
                <c:pt idx="99">
                  <c:v>59.87</c:v>
                </c:pt>
                <c:pt idx="100">
                  <c:v>58.31</c:v>
                </c:pt>
                <c:pt idx="101">
                  <c:v>59.87</c:v>
                </c:pt>
                <c:pt idx="102">
                  <c:v>59.87</c:v>
                </c:pt>
                <c:pt idx="103">
                  <c:v>58.31</c:v>
                </c:pt>
                <c:pt idx="104">
                  <c:v>56.74</c:v>
                </c:pt>
                <c:pt idx="105">
                  <c:v>55.17</c:v>
                </c:pt>
                <c:pt idx="106">
                  <c:v>56.74</c:v>
                </c:pt>
                <c:pt idx="107">
                  <c:v>58.31</c:v>
                </c:pt>
                <c:pt idx="108">
                  <c:v>59.87</c:v>
                </c:pt>
                <c:pt idx="109">
                  <c:v>59.87</c:v>
                </c:pt>
                <c:pt idx="110">
                  <c:v>59.87</c:v>
                </c:pt>
                <c:pt idx="111">
                  <c:v>58.31</c:v>
                </c:pt>
                <c:pt idx="112">
                  <c:v>56.74</c:v>
                </c:pt>
                <c:pt idx="113">
                  <c:v>58.31</c:v>
                </c:pt>
                <c:pt idx="114">
                  <c:v>59.87</c:v>
                </c:pt>
                <c:pt idx="115">
                  <c:v>59.87</c:v>
                </c:pt>
                <c:pt idx="116">
                  <c:v>58.31</c:v>
                </c:pt>
                <c:pt idx="117">
                  <c:v>56.74</c:v>
                </c:pt>
                <c:pt idx="118">
                  <c:v>55.17</c:v>
                </c:pt>
                <c:pt idx="119">
                  <c:v>53.61</c:v>
                </c:pt>
                <c:pt idx="120">
                  <c:v>55.17</c:v>
                </c:pt>
                <c:pt idx="121">
                  <c:v>56.74</c:v>
                </c:pt>
                <c:pt idx="122">
                  <c:v>58.31</c:v>
                </c:pt>
                <c:pt idx="123">
                  <c:v>59.87</c:v>
                </c:pt>
                <c:pt idx="124">
                  <c:v>59.87</c:v>
                </c:pt>
                <c:pt idx="125">
                  <c:v>59.87</c:v>
                </c:pt>
                <c:pt idx="126">
                  <c:v>59.87</c:v>
                </c:pt>
                <c:pt idx="127">
                  <c:v>59.87</c:v>
                </c:pt>
                <c:pt idx="128">
                  <c:v>58.31</c:v>
                </c:pt>
                <c:pt idx="129">
                  <c:v>56.74</c:v>
                </c:pt>
                <c:pt idx="130">
                  <c:v>58.31</c:v>
                </c:pt>
                <c:pt idx="131">
                  <c:v>59.87</c:v>
                </c:pt>
                <c:pt idx="132">
                  <c:v>59.87</c:v>
                </c:pt>
                <c:pt idx="133">
                  <c:v>58.31</c:v>
                </c:pt>
                <c:pt idx="134">
                  <c:v>56.74</c:v>
                </c:pt>
                <c:pt idx="135">
                  <c:v>55.17</c:v>
                </c:pt>
                <c:pt idx="136">
                  <c:v>56.74</c:v>
                </c:pt>
                <c:pt idx="137">
                  <c:v>58.31</c:v>
                </c:pt>
                <c:pt idx="138">
                  <c:v>59.87</c:v>
                </c:pt>
                <c:pt idx="139">
                  <c:v>59.87</c:v>
                </c:pt>
                <c:pt idx="140">
                  <c:v>59.87</c:v>
                </c:pt>
                <c:pt idx="141">
                  <c:v>59.87</c:v>
                </c:pt>
                <c:pt idx="142">
                  <c:v>58.31</c:v>
                </c:pt>
                <c:pt idx="143">
                  <c:v>56.74</c:v>
                </c:pt>
                <c:pt idx="144">
                  <c:v>55.17</c:v>
                </c:pt>
                <c:pt idx="145">
                  <c:v>53.61</c:v>
                </c:pt>
                <c:pt idx="146">
                  <c:v>55.17</c:v>
                </c:pt>
                <c:pt idx="147">
                  <c:v>56.74</c:v>
                </c:pt>
                <c:pt idx="148">
                  <c:v>55.17</c:v>
                </c:pt>
                <c:pt idx="149">
                  <c:v>53.61</c:v>
                </c:pt>
                <c:pt idx="150">
                  <c:v>52.04</c:v>
                </c:pt>
                <c:pt idx="151">
                  <c:v>50.47</c:v>
                </c:pt>
                <c:pt idx="152">
                  <c:v>52.04</c:v>
                </c:pt>
                <c:pt idx="153">
                  <c:v>53.61</c:v>
                </c:pt>
                <c:pt idx="154">
                  <c:v>55.17</c:v>
                </c:pt>
                <c:pt idx="155">
                  <c:v>56.74</c:v>
                </c:pt>
                <c:pt idx="156">
                  <c:v>58.31</c:v>
                </c:pt>
                <c:pt idx="157">
                  <c:v>59.87</c:v>
                </c:pt>
                <c:pt idx="158">
                  <c:v>59.87</c:v>
                </c:pt>
                <c:pt idx="159">
                  <c:v>59.87</c:v>
                </c:pt>
                <c:pt idx="160">
                  <c:v>58.31</c:v>
                </c:pt>
                <c:pt idx="161">
                  <c:v>56.74</c:v>
                </c:pt>
                <c:pt idx="162">
                  <c:v>55.17</c:v>
                </c:pt>
                <c:pt idx="163">
                  <c:v>56.74</c:v>
                </c:pt>
                <c:pt idx="164">
                  <c:v>58.31</c:v>
                </c:pt>
                <c:pt idx="165">
                  <c:v>59.87</c:v>
                </c:pt>
                <c:pt idx="166">
                  <c:v>59.87</c:v>
                </c:pt>
                <c:pt idx="167">
                  <c:v>59.87</c:v>
                </c:pt>
                <c:pt idx="168">
                  <c:v>59.87</c:v>
                </c:pt>
                <c:pt idx="169">
                  <c:v>58.31</c:v>
                </c:pt>
                <c:pt idx="170">
                  <c:v>56.74</c:v>
                </c:pt>
                <c:pt idx="171">
                  <c:v>58.31</c:v>
                </c:pt>
                <c:pt idx="172">
                  <c:v>59.87</c:v>
                </c:pt>
                <c:pt idx="173">
                  <c:v>59.87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FE-4C56-9F49-89CE3C77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920672"/>
        <c:axId val="1941923552"/>
      </c:scatterChart>
      <c:valAx>
        <c:axId val="194364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46768"/>
        <c:crosses val="autoZero"/>
        <c:crossBetween val="midCat"/>
      </c:valAx>
      <c:valAx>
        <c:axId val="19436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43888"/>
        <c:crosses val="autoZero"/>
        <c:crossBetween val="midCat"/>
      </c:valAx>
      <c:valAx>
        <c:axId val="19419235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20672"/>
        <c:crosses val="max"/>
        <c:crossBetween val="midCat"/>
      </c:valAx>
      <c:valAx>
        <c:axId val="19419206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194192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Vpv, Ipv / Vout, Iout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Vpv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Sheet1!$B$2:$B$175</c:f>
              <c:numCache>
                <c:formatCode>General</c:formatCode>
                <c:ptCount val="174"/>
                <c:pt idx="0">
                  <c:v>5.64</c:v>
                </c:pt>
                <c:pt idx="1">
                  <c:v>9.36</c:v>
                </c:pt>
                <c:pt idx="2">
                  <c:v>14.92</c:v>
                </c:pt>
                <c:pt idx="3">
                  <c:v>18.600000000000001</c:v>
                </c:pt>
                <c:pt idx="4">
                  <c:v>18.43</c:v>
                </c:pt>
                <c:pt idx="5">
                  <c:v>18.37</c:v>
                </c:pt>
                <c:pt idx="6">
                  <c:v>18.190000000000001</c:v>
                </c:pt>
                <c:pt idx="7">
                  <c:v>18.12</c:v>
                </c:pt>
                <c:pt idx="8">
                  <c:v>17.989999999999998</c:v>
                </c:pt>
                <c:pt idx="9">
                  <c:v>17.87</c:v>
                </c:pt>
                <c:pt idx="10">
                  <c:v>17.739999999999998</c:v>
                </c:pt>
                <c:pt idx="11">
                  <c:v>17.61</c:v>
                </c:pt>
                <c:pt idx="12">
                  <c:v>17.48</c:v>
                </c:pt>
                <c:pt idx="13">
                  <c:v>17.37</c:v>
                </c:pt>
                <c:pt idx="14">
                  <c:v>17.37</c:v>
                </c:pt>
                <c:pt idx="15">
                  <c:v>17.39</c:v>
                </c:pt>
                <c:pt idx="16">
                  <c:v>17.399999999999999</c:v>
                </c:pt>
                <c:pt idx="17">
                  <c:v>17.489999999999998</c:v>
                </c:pt>
                <c:pt idx="18">
                  <c:v>17.46</c:v>
                </c:pt>
                <c:pt idx="19">
                  <c:v>17.420000000000002</c:v>
                </c:pt>
                <c:pt idx="20">
                  <c:v>17.41</c:v>
                </c:pt>
                <c:pt idx="21">
                  <c:v>17.32</c:v>
                </c:pt>
                <c:pt idx="22">
                  <c:v>17.32</c:v>
                </c:pt>
                <c:pt idx="23">
                  <c:v>17.36</c:v>
                </c:pt>
                <c:pt idx="24">
                  <c:v>17.399999999999999</c:v>
                </c:pt>
                <c:pt idx="25">
                  <c:v>17.45</c:v>
                </c:pt>
                <c:pt idx="26">
                  <c:v>17.55</c:v>
                </c:pt>
                <c:pt idx="27">
                  <c:v>17.62</c:v>
                </c:pt>
                <c:pt idx="28">
                  <c:v>17.64</c:v>
                </c:pt>
                <c:pt idx="29">
                  <c:v>17.57</c:v>
                </c:pt>
                <c:pt idx="30">
                  <c:v>17.47</c:v>
                </c:pt>
                <c:pt idx="31">
                  <c:v>17.34</c:v>
                </c:pt>
                <c:pt idx="32">
                  <c:v>17.28</c:v>
                </c:pt>
                <c:pt idx="33">
                  <c:v>17.21</c:v>
                </c:pt>
                <c:pt idx="34">
                  <c:v>17.25</c:v>
                </c:pt>
                <c:pt idx="35">
                  <c:v>17.29</c:v>
                </c:pt>
                <c:pt idx="36">
                  <c:v>17.32</c:v>
                </c:pt>
                <c:pt idx="37">
                  <c:v>17.46</c:v>
                </c:pt>
                <c:pt idx="38">
                  <c:v>17.5</c:v>
                </c:pt>
                <c:pt idx="39">
                  <c:v>17.510000000000002</c:v>
                </c:pt>
                <c:pt idx="40">
                  <c:v>17.45</c:v>
                </c:pt>
                <c:pt idx="41">
                  <c:v>17.350000000000001</c:v>
                </c:pt>
                <c:pt idx="42">
                  <c:v>17.29</c:v>
                </c:pt>
                <c:pt idx="43">
                  <c:v>17.3</c:v>
                </c:pt>
                <c:pt idx="44">
                  <c:v>17.309999999999999</c:v>
                </c:pt>
                <c:pt idx="45">
                  <c:v>17.41</c:v>
                </c:pt>
                <c:pt idx="46">
                  <c:v>17.399999999999999</c:v>
                </c:pt>
                <c:pt idx="47">
                  <c:v>17.350000000000001</c:v>
                </c:pt>
                <c:pt idx="48">
                  <c:v>17.350000000000001</c:v>
                </c:pt>
                <c:pt idx="49">
                  <c:v>17.3</c:v>
                </c:pt>
                <c:pt idx="50">
                  <c:v>17.41</c:v>
                </c:pt>
                <c:pt idx="51">
                  <c:v>17.43</c:v>
                </c:pt>
                <c:pt idx="52">
                  <c:v>17.43</c:v>
                </c:pt>
                <c:pt idx="53">
                  <c:v>17.440000000000001</c:v>
                </c:pt>
                <c:pt idx="54">
                  <c:v>17.37</c:v>
                </c:pt>
                <c:pt idx="55">
                  <c:v>17.329999999999998</c:v>
                </c:pt>
                <c:pt idx="56">
                  <c:v>17.309999999999999</c:v>
                </c:pt>
                <c:pt idx="57">
                  <c:v>17.3</c:v>
                </c:pt>
                <c:pt idx="58">
                  <c:v>17.350000000000001</c:v>
                </c:pt>
                <c:pt idx="59">
                  <c:v>17.48</c:v>
                </c:pt>
                <c:pt idx="60">
                  <c:v>17.55</c:v>
                </c:pt>
                <c:pt idx="61">
                  <c:v>17.53</c:v>
                </c:pt>
                <c:pt idx="62">
                  <c:v>17.45</c:v>
                </c:pt>
                <c:pt idx="63">
                  <c:v>17.34</c:v>
                </c:pt>
                <c:pt idx="64">
                  <c:v>17.23</c:v>
                </c:pt>
                <c:pt idx="65">
                  <c:v>17.23</c:v>
                </c:pt>
                <c:pt idx="66">
                  <c:v>17.29</c:v>
                </c:pt>
                <c:pt idx="67">
                  <c:v>17.309999999999999</c:v>
                </c:pt>
                <c:pt idx="68">
                  <c:v>17.3</c:v>
                </c:pt>
                <c:pt idx="69">
                  <c:v>17.27</c:v>
                </c:pt>
                <c:pt idx="70">
                  <c:v>17.32</c:v>
                </c:pt>
                <c:pt idx="71">
                  <c:v>17.39</c:v>
                </c:pt>
                <c:pt idx="72">
                  <c:v>17.41</c:v>
                </c:pt>
                <c:pt idx="73">
                  <c:v>17.39</c:v>
                </c:pt>
                <c:pt idx="74">
                  <c:v>17.36</c:v>
                </c:pt>
                <c:pt idx="75">
                  <c:v>17.399999999999999</c:v>
                </c:pt>
                <c:pt idx="76">
                  <c:v>17.48</c:v>
                </c:pt>
                <c:pt idx="77">
                  <c:v>17.54</c:v>
                </c:pt>
                <c:pt idx="78">
                  <c:v>17.510000000000002</c:v>
                </c:pt>
                <c:pt idx="79">
                  <c:v>17.45</c:v>
                </c:pt>
                <c:pt idx="80">
                  <c:v>17.39</c:v>
                </c:pt>
                <c:pt idx="81">
                  <c:v>17.32</c:v>
                </c:pt>
                <c:pt idx="82">
                  <c:v>17.34</c:v>
                </c:pt>
                <c:pt idx="83">
                  <c:v>17.36</c:v>
                </c:pt>
                <c:pt idx="84">
                  <c:v>17.38</c:v>
                </c:pt>
                <c:pt idx="85">
                  <c:v>17.54</c:v>
                </c:pt>
                <c:pt idx="86">
                  <c:v>17.61</c:v>
                </c:pt>
                <c:pt idx="87">
                  <c:v>17.61</c:v>
                </c:pt>
                <c:pt idx="88">
                  <c:v>17.57</c:v>
                </c:pt>
                <c:pt idx="89">
                  <c:v>17.41</c:v>
                </c:pt>
                <c:pt idx="90">
                  <c:v>17.34</c:v>
                </c:pt>
                <c:pt idx="91">
                  <c:v>17.27</c:v>
                </c:pt>
                <c:pt idx="92">
                  <c:v>17.309999999999999</c:v>
                </c:pt>
                <c:pt idx="93">
                  <c:v>17.34</c:v>
                </c:pt>
                <c:pt idx="94">
                  <c:v>17.43</c:v>
                </c:pt>
                <c:pt idx="95">
                  <c:v>17.48</c:v>
                </c:pt>
                <c:pt idx="96">
                  <c:v>17.510000000000002</c:v>
                </c:pt>
                <c:pt idx="97">
                  <c:v>17.39</c:v>
                </c:pt>
                <c:pt idx="98">
                  <c:v>17.329999999999998</c:v>
                </c:pt>
                <c:pt idx="99">
                  <c:v>17.23</c:v>
                </c:pt>
                <c:pt idx="100">
                  <c:v>17.21</c:v>
                </c:pt>
                <c:pt idx="101">
                  <c:v>17.29</c:v>
                </c:pt>
                <c:pt idx="102">
                  <c:v>17.29</c:v>
                </c:pt>
                <c:pt idx="103">
                  <c:v>17.27</c:v>
                </c:pt>
                <c:pt idx="104">
                  <c:v>17.32</c:v>
                </c:pt>
                <c:pt idx="105">
                  <c:v>17.28</c:v>
                </c:pt>
                <c:pt idx="106">
                  <c:v>17.37</c:v>
                </c:pt>
                <c:pt idx="107">
                  <c:v>17.47</c:v>
                </c:pt>
                <c:pt idx="108">
                  <c:v>17.43</c:v>
                </c:pt>
                <c:pt idx="109">
                  <c:v>17.38</c:v>
                </c:pt>
                <c:pt idx="110">
                  <c:v>17.29</c:v>
                </c:pt>
                <c:pt idx="111">
                  <c:v>17.28</c:v>
                </c:pt>
                <c:pt idx="112">
                  <c:v>17.309999999999999</c:v>
                </c:pt>
                <c:pt idx="113">
                  <c:v>17.38</c:v>
                </c:pt>
                <c:pt idx="114">
                  <c:v>17.420000000000002</c:v>
                </c:pt>
                <c:pt idx="115">
                  <c:v>17.37</c:v>
                </c:pt>
                <c:pt idx="116">
                  <c:v>17.36</c:v>
                </c:pt>
                <c:pt idx="117">
                  <c:v>17.37</c:v>
                </c:pt>
                <c:pt idx="118">
                  <c:v>17.38</c:v>
                </c:pt>
                <c:pt idx="119">
                  <c:v>17.41</c:v>
                </c:pt>
                <c:pt idx="120">
                  <c:v>17.52</c:v>
                </c:pt>
                <c:pt idx="121">
                  <c:v>17.59</c:v>
                </c:pt>
                <c:pt idx="122">
                  <c:v>17.63</c:v>
                </c:pt>
                <c:pt idx="123">
                  <c:v>17.600000000000001</c:v>
                </c:pt>
                <c:pt idx="124">
                  <c:v>17.38</c:v>
                </c:pt>
                <c:pt idx="125">
                  <c:v>17.309999999999999</c:v>
                </c:pt>
                <c:pt idx="126">
                  <c:v>17.22</c:v>
                </c:pt>
                <c:pt idx="127">
                  <c:v>17.16</c:v>
                </c:pt>
                <c:pt idx="128">
                  <c:v>17.190000000000001</c:v>
                </c:pt>
                <c:pt idx="129">
                  <c:v>17.21</c:v>
                </c:pt>
                <c:pt idx="130">
                  <c:v>17.28</c:v>
                </c:pt>
                <c:pt idx="131">
                  <c:v>17.34</c:v>
                </c:pt>
                <c:pt idx="132">
                  <c:v>17.37</c:v>
                </c:pt>
                <c:pt idx="133">
                  <c:v>17.350000000000001</c:v>
                </c:pt>
                <c:pt idx="134">
                  <c:v>17.37</c:v>
                </c:pt>
                <c:pt idx="135">
                  <c:v>17.36</c:v>
                </c:pt>
                <c:pt idx="136">
                  <c:v>17.41</c:v>
                </c:pt>
                <c:pt idx="137">
                  <c:v>17.489999999999998</c:v>
                </c:pt>
                <c:pt idx="138">
                  <c:v>17.489999999999998</c:v>
                </c:pt>
                <c:pt idx="139">
                  <c:v>17.47</c:v>
                </c:pt>
                <c:pt idx="140">
                  <c:v>17.420000000000002</c:v>
                </c:pt>
                <c:pt idx="141">
                  <c:v>17.34</c:v>
                </c:pt>
                <c:pt idx="142">
                  <c:v>17.170000000000002</c:v>
                </c:pt>
                <c:pt idx="143">
                  <c:v>17.13</c:v>
                </c:pt>
                <c:pt idx="144">
                  <c:v>17.149999999999999</c:v>
                </c:pt>
                <c:pt idx="145">
                  <c:v>17.18</c:v>
                </c:pt>
                <c:pt idx="146">
                  <c:v>17.45</c:v>
                </c:pt>
                <c:pt idx="147">
                  <c:v>17.48</c:v>
                </c:pt>
                <c:pt idx="148">
                  <c:v>17.54</c:v>
                </c:pt>
                <c:pt idx="149">
                  <c:v>17.600000000000001</c:v>
                </c:pt>
                <c:pt idx="150">
                  <c:v>17.600000000000001</c:v>
                </c:pt>
                <c:pt idx="151">
                  <c:v>17.649999999999999</c:v>
                </c:pt>
                <c:pt idx="152">
                  <c:v>17.79</c:v>
                </c:pt>
                <c:pt idx="153">
                  <c:v>17.88</c:v>
                </c:pt>
                <c:pt idx="154">
                  <c:v>17.86</c:v>
                </c:pt>
                <c:pt idx="155">
                  <c:v>17.82</c:v>
                </c:pt>
                <c:pt idx="156">
                  <c:v>17.68</c:v>
                </c:pt>
                <c:pt idx="157">
                  <c:v>17.5</c:v>
                </c:pt>
                <c:pt idx="158">
                  <c:v>17.45</c:v>
                </c:pt>
                <c:pt idx="159">
                  <c:v>17.39</c:v>
                </c:pt>
                <c:pt idx="160">
                  <c:v>17.3</c:v>
                </c:pt>
                <c:pt idx="161">
                  <c:v>17.27</c:v>
                </c:pt>
                <c:pt idx="162">
                  <c:v>17.27</c:v>
                </c:pt>
                <c:pt idx="163">
                  <c:v>17.36</c:v>
                </c:pt>
                <c:pt idx="164">
                  <c:v>17.5</c:v>
                </c:pt>
                <c:pt idx="165">
                  <c:v>17.55</c:v>
                </c:pt>
                <c:pt idx="166">
                  <c:v>17.5</c:v>
                </c:pt>
                <c:pt idx="167">
                  <c:v>17.399999999999999</c:v>
                </c:pt>
                <c:pt idx="168">
                  <c:v>17.350000000000001</c:v>
                </c:pt>
                <c:pt idx="169">
                  <c:v>17.3</c:v>
                </c:pt>
                <c:pt idx="170">
                  <c:v>17.34</c:v>
                </c:pt>
                <c:pt idx="171">
                  <c:v>17.399999999999999</c:v>
                </c:pt>
                <c:pt idx="172">
                  <c:v>17.36</c:v>
                </c:pt>
                <c:pt idx="173">
                  <c:v>17.350000000000001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E8-4C9C-92CA-8633138E4139}"/>
            </c:ext>
          </c:extLst>
        </c:ser>
        <c:ser>
          <c:idx val="1"/>
          <c:order val="1"/>
          <c:tx>
            <c:v>Ipv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Sheet1!$C$2:$C$175</c:f>
              <c:numCache>
                <c:formatCode>0.00</c:formatCode>
                <c:ptCount val="174"/>
                <c:pt idx="0">
                  <c:v>5.9698581560283692</c:v>
                </c:pt>
                <c:pt idx="1">
                  <c:v>6.0897435897435903</c:v>
                </c:pt>
                <c:pt idx="2">
                  <c:v>6.1487935656836461</c:v>
                </c:pt>
                <c:pt idx="3">
                  <c:v>6.2499999999999991</c:v>
                </c:pt>
                <c:pt idx="4">
                  <c:v>6.5420510037981545</c:v>
                </c:pt>
                <c:pt idx="5">
                  <c:v>6.72509526401742</c:v>
                </c:pt>
                <c:pt idx="6">
                  <c:v>7.097306212204507</c:v>
                </c:pt>
                <c:pt idx="7">
                  <c:v>7.2781456953642376</c:v>
                </c:pt>
                <c:pt idx="8">
                  <c:v>7.5864369093941075</c:v>
                </c:pt>
                <c:pt idx="9">
                  <c:v>7.7761611639619472</c:v>
                </c:pt>
                <c:pt idx="10">
                  <c:v>8.186583990980834</c:v>
                </c:pt>
                <c:pt idx="11">
                  <c:v>8.4997160704145376</c:v>
                </c:pt>
                <c:pt idx="12">
                  <c:v>8.8260869565217384</c:v>
                </c:pt>
                <c:pt idx="13">
                  <c:v>9.0420264824409902</c:v>
                </c:pt>
                <c:pt idx="14">
                  <c:v>9.1439263097294194</c:v>
                </c:pt>
                <c:pt idx="15">
                  <c:v>9.092581943645774</c:v>
                </c:pt>
                <c:pt idx="16">
                  <c:v>9.0316091954023001</c:v>
                </c:pt>
                <c:pt idx="17">
                  <c:v>8.845626072041167</c:v>
                </c:pt>
                <c:pt idx="18">
                  <c:v>8.7892325315005735</c:v>
                </c:pt>
                <c:pt idx="19">
                  <c:v>8.7474167623421337</c:v>
                </c:pt>
                <c:pt idx="20">
                  <c:v>8.9385410683515225</c:v>
                </c:pt>
                <c:pt idx="21">
                  <c:v>9.0993071593533479</c:v>
                </c:pt>
                <c:pt idx="22">
                  <c:v>9.2580831408775985</c:v>
                </c:pt>
                <c:pt idx="23">
                  <c:v>9.2793778801843327</c:v>
                </c:pt>
                <c:pt idx="24">
                  <c:v>9.1068965517241391</c:v>
                </c:pt>
                <c:pt idx="25">
                  <c:v>8.988538681948425</c:v>
                </c:pt>
                <c:pt idx="26">
                  <c:v>8.6512820512820525</c:v>
                </c:pt>
                <c:pt idx="27">
                  <c:v>8.5720771850170259</c:v>
                </c:pt>
                <c:pt idx="28">
                  <c:v>8.5</c:v>
                </c:pt>
                <c:pt idx="29">
                  <c:v>8.6323278315310183</c:v>
                </c:pt>
                <c:pt idx="30">
                  <c:v>8.946193474527762</c:v>
                </c:pt>
                <c:pt idx="31">
                  <c:v>9.2116493656286043</c:v>
                </c:pt>
                <c:pt idx="32">
                  <c:v>9.403356481481481</c:v>
                </c:pt>
                <c:pt idx="33">
                  <c:v>9.5363160952934347</c:v>
                </c:pt>
                <c:pt idx="34">
                  <c:v>9.4562318840579707</c:v>
                </c:pt>
                <c:pt idx="35">
                  <c:v>9.3076923076923084</c:v>
                </c:pt>
                <c:pt idx="36">
                  <c:v>9.068706697459584</c:v>
                </c:pt>
                <c:pt idx="37">
                  <c:v>8.8150057273768603</c:v>
                </c:pt>
                <c:pt idx="38">
                  <c:v>8.6788571428571419</c:v>
                </c:pt>
                <c:pt idx="39">
                  <c:v>8.7133066818960589</c:v>
                </c:pt>
                <c:pt idx="40">
                  <c:v>8.9432664756447</c:v>
                </c:pt>
                <c:pt idx="41">
                  <c:v>9.185590778097982</c:v>
                </c:pt>
                <c:pt idx="42">
                  <c:v>9.2978600347021398</c:v>
                </c:pt>
                <c:pt idx="43">
                  <c:v>9.320231213872832</c:v>
                </c:pt>
                <c:pt idx="44">
                  <c:v>9.2628538417099957</c:v>
                </c:pt>
                <c:pt idx="45">
                  <c:v>9.0459506031016659</c:v>
                </c:pt>
                <c:pt idx="46">
                  <c:v>9.4091954022988507</c:v>
                </c:pt>
                <c:pt idx="47">
                  <c:v>9.461671469740633</c:v>
                </c:pt>
                <c:pt idx="48">
                  <c:v>9.6178674351585016</c:v>
                </c:pt>
                <c:pt idx="49">
                  <c:v>9.6901734104046238</c:v>
                </c:pt>
                <c:pt idx="50">
                  <c:v>9.2004595060310166</c:v>
                </c:pt>
                <c:pt idx="51">
                  <c:v>9.1353987378083765</c:v>
                </c:pt>
                <c:pt idx="52">
                  <c:v>9.1061388410786002</c:v>
                </c:pt>
                <c:pt idx="53">
                  <c:v>9.1496559633027505</c:v>
                </c:pt>
                <c:pt idx="54">
                  <c:v>9.2475532527345994</c:v>
                </c:pt>
                <c:pt idx="55">
                  <c:v>9.2781304096941728</c:v>
                </c:pt>
                <c:pt idx="56">
                  <c:v>9.2518775274407865</c:v>
                </c:pt>
                <c:pt idx="57">
                  <c:v>9.117341040462426</c:v>
                </c:pt>
                <c:pt idx="58">
                  <c:v>9.0922190201729105</c:v>
                </c:pt>
                <c:pt idx="59">
                  <c:v>8.9227688787185357</c:v>
                </c:pt>
                <c:pt idx="60">
                  <c:v>8.7720797720797705</c:v>
                </c:pt>
                <c:pt idx="61">
                  <c:v>8.8094694808899021</c:v>
                </c:pt>
                <c:pt idx="62">
                  <c:v>8.9163323782234958</c:v>
                </c:pt>
                <c:pt idx="63">
                  <c:v>9.0674740484429055</c:v>
                </c:pt>
                <c:pt idx="64">
                  <c:v>9.3528728961114336</c:v>
                </c:pt>
                <c:pt idx="65">
                  <c:v>9.4585026117237376</c:v>
                </c:pt>
                <c:pt idx="66">
                  <c:v>9.2359745517640253</c:v>
                </c:pt>
                <c:pt idx="67">
                  <c:v>9.2426343154246116</c:v>
                </c:pt>
                <c:pt idx="68">
                  <c:v>9.2069364161849716</c:v>
                </c:pt>
                <c:pt idx="69">
                  <c:v>9.1239143022582514</c:v>
                </c:pt>
                <c:pt idx="70">
                  <c:v>9.053117782909931</c:v>
                </c:pt>
                <c:pt idx="71">
                  <c:v>8.899942495687176</c:v>
                </c:pt>
                <c:pt idx="72">
                  <c:v>8.9431361286616884</c:v>
                </c:pt>
                <c:pt idx="73">
                  <c:v>9.185738930419781</c:v>
                </c:pt>
                <c:pt idx="74">
                  <c:v>9.3087557603686637</c:v>
                </c:pt>
                <c:pt idx="75">
                  <c:v>9.1827586206896559</c:v>
                </c:pt>
                <c:pt idx="76">
                  <c:v>8.860411899313501</c:v>
                </c:pt>
                <c:pt idx="77">
                  <c:v>8.6955530216647681</c:v>
                </c:pt>
                <c:pt idx="78">
                  <c:v>8.7332952598515128</c:v>
                </c:pt>
                <c:pt idx="79">
                  <c:v>8.8888252148997147</c:v>
                </c:pt>
                <c:pt idx="80">
                  <c:v>9.0937320299022417</c:v>
                </c:pt>
                <c:pt idx="81">
                  <c:v>9.1454965357967666</c:v>
                </c:pt>
                <c:pt idx="82">
                  <c:v>9.1182237600922722</c:v>
                </c:pt>
                <c:pt idx="83">
                  <c:v>9.0679723502304146</c:v>
                </c:pt>
                <c:pt idx="84">
                  <c:v>8.9994246260069044</c:v>
                </c:pt>
                <c:pt idx="85">
                  <c:v>8.7411630558722919</c:v>
                </c:pt>
                <c:pt idx="86">
                  <c:v>8.6155593412833618</c:v>
                </c:pt>
                <c:pt idx="87">
                  <c:v>8.5814877910278256</c:v>
                </c:pt>
                <c:pt idx="88">
                  <c:v>8.6494023904382473</c:v>
                </c:pt>
                <c:pt idx="89">
                  <c:v>9.0361860999425616</c:v>
                </c:pt>
                <c:pt idx="90">
                  <c:v>9.2929642445213378</c:v>
                </c:pt>
                <c:pt idx="91">
                  <c:v>9.3346844238563982</c:v>
                </c:pt>
                <c:pt idx="92">
                  <c:v>9.329867128827269</c:v>
                </c:pt>
                <c:pt idx="93">
                  <c:v>9.2116493656286043</c:v>
                </c:pt>
                <c:pt idx="94">
                  <c:v>9.0160642570281126</c:v>
                </c:pt>
                <c:pt idx="95">
                  <c:v>8.9925629290617852</c:v>
                </c:pt>
                <c:pt idx="96">
                  <c:v>8.9263278126784691</c:v>
                </c:pt>
                <c:pt idx="97">
                  <c:v>9.0695802185163892</c:v>
                </c:pt>
                <c:pt idx="98">
                  <c:v>9.160992498557416</c:v>
                </c:pt>
                <c:pt idx="99">
                  <c:v>9.3348810214741729</c:v>
                </c:pt>
                <c:pt idx="100">
                  <c:v>9.3666472980825084</c:v>
                </c:pt>
                <c:pt idx="101">
                  <c:v>9.2325043377674962</c:v>
                </c:pt>
                <c:pt idx="102">
                  <c:v>9.2706766917293226</c:v>
                </c:pt>
                <c:pt idx="103">
                  <c:v>9.2281412854661262</c:v>
                </c:pt>
                <c:pt idx="104">
                  <c:v>9.1911085450346413</c:v>
                </c:pt>
                <c:pt idx="105">
                  <c:v>9.2239583333333321</c:v>
                </c:pt>
                <c:pt idx="106">
                  <c:v>9.0472078295912493</c:v>
                </c:pt>
                <c:pt idx="107">
                  <c:v>8.8826559816828858</c:v>
                </c:pt>
                <c:pt idx="108">
                  <c:v>8.8525530694205408</c:v>
                </c:pt>
                <c:pt idx="109">
                  <c:v>8.9706559263521299</c:v>
                </c:pt>
                <c:pt idx="110">
                  <c:v>9.2625795257374204</c:v>
                </c:pt>
                <c:pt idx="111">
                  <c:v>9.4201388888888875</c:v>
                </c:pt>
                <c:pt idx="112">
                  <c:v>9.433275563258233</c:v>
                </c:pt>
                <c:pt idx="113">
                  <c:v>9.1260069044879177</c:v>
                </c:pt>
                <c:pt idx="114">
                  <c:v>8.9695752009184844</c:v>
                </c:pt>
                <c:pt idx="115">
                  <c:v>9.0564191134139325</c:v>
                </c:pt>
                <c:pt idx="116">
                  <c:v>9.1296082949308772</c:v>
                </c:pt>
                <c:pt idx="117">
                  <c:v>9.1922855497985019</c:v>
                </c:pt>
                <c:pt idx="118">
                  <c:v>9.1352128883774473</c:v>
                </c:pt>
                <c:pt idx="119">
                  <c:v>8.9626651349798969</c:v>
                </c:pt>
                <c:pt idx="120">
                  <c:v>8.5759132420091326</c:v>
                </c:pt>
                <c:pt idx="121">
                  <c:v>8.489482660602615</c:v>
                </c:pt>
                <c:pt idx="122">
                  <c:v>8.3613159387407823</c:v>
                </c:pt>
                <c:pt idx="123">
                  <c:v>8.4130681818181809</c:v>
                </c:pt>
                <c:pt idx="124">
                  <c:v>8.8722669735327955</c:v>
                </c:pt>
                <c:pt idx="125">
                  <c:v>9.0953206239168125</c:v>
                </c:pt>
                <c:pt idx="126">
                  <c:v>9.3159117305458761</c:v>
                </c:pt>
                <c:pt idx="127">
                  <c:v>9.4720279720279716</c:v>
                </c:pt>
                <c:pt idx="128">
                  <c:v>9.4729493891797549</c:v>
                </c:pt>
                <c:pt idx="129">
                  <c:v>9.324230098779779</c:v>
                </c:pt>
                <c:pt idx="130">
                  <c:v>9.1307870370370363</c:v>
                </c:pt>
                <c:pt idx="131">
                  <c:v>9.1147635524798165</c:v>
                </c:pt>
                <c:pt idx="132">
                  <c:v>9.1036269430051799</c:v>
                </c:pt>
                <c:pt idx="133">
                  <c:v>9.1930835734870318</c:v>
                </c:pt>
                <c:pt idx="134">
                  <c:v>9.1882556131260777</c:v>
                </c:pt>
                <c:pt idx="135">
                  <c:v>9.1261520737327189</c:v>
                </c:pt>
                <c:pt idx="136">
                  <c:v>8.9006318207926487</c:v>
                </c:pt>
                <c:pt idx="137">
                  <c:v>8.7913093196112069</c:v>
                </c:pt>
                <c:pt idx="138">
                  <c:v>8.8633504859919974</c:v>
                </c:pt>
                <c:pt idx="139">
                  <c:v>8.9284487693188321</c:v>
                </c:pt>
                <c:pt idx="140">
                  <c:v>9.10332950631458</c:v>
                </c:pt>
                <c:pt idx="141">
                  <c:v>9.2670126874279131</c:v>
                </c:pt>
                <c:pt idx="142">
                  <c:v>9.2929528246942326</c:v>
                </c:pt>
                <c:pt idx="143">
                  <c:v>9.3210741389375364</c:v>
                </c:pt>
                <c:pt idx="144">
                  <c:v>9.1988338192419832</c:v>
                </c:pt>
                <c:pt idx="145">
                  <c:v>8.9516880093131537</c:v>
                </c:pt>
                <c:pt idx="146">
                  <c:v>8.7713467048710605</c:v>
                </c:pt>
                <c:pt idx="147">
                  <c:v>8.6435926773455378</c:v>
                </c:pt>
                <c:pt idx="148">
                  <c:v>8.6801596351197272</c:v>
                </c:pt>
                <c:pt idx="149">
                  <c:v>8.6482954545454547</c:v>
                </c:pt>
                <c:pt idx="150">
                  <c:v>8.526136363636363</c:v>
                </c:pt>
                <c:pt idx="151">
                  <c:v>8.4589235127478766</c:v>
                </c:pt>
                <c:pt idx="152">
                  <c:v>8.1214165261382796</c:v>
                </c:pt>
                <c:pt idx="153">
                  <c:v>8.0794183445190164</c:v>
                </c:pt>
                <c:pt idx="154">
                  <c:v>8.0397536394176932</c:v>
                </c:pt>
                <c:pt idx="155">
                  <c:v>8.0594837261503933</c:v>
                </c:pt>
                <c:pt idx="156">
                  <c:v>8.2958144796380093</c:v>
                </c:pt>
                <c:pt idx="157">
                  <c:v>8.588571428571429</c:v>
                </c:pt>
                <c:pt idx="158">
                  <c:v>8.808022922636102</c:v>
                </c:pt>
                <c:pt idx="159">
                  <c:v>9.0529039677975849</c:v>
                </c:pt>
                <c:pt idx="160">
                  <c:v>9.0664739884393057</c:v>
                </c:pt>
                <c:pt idx="161">
                  <c:v>9.0735379270411105</c:v>
                </c:pt>
                <c:pt idx="162">
                  <c:v>9.0416907932831503</c:v>
                </c:pt>
                <c:pt idx="163">
                  <c:v>8.8842165898617509</c:v>
                </c:pt>
                <c:pt idx="164">
                  <c:v>8.7685714285714287</c:v>
                </c:pt>
                <c:pt idx="165">
                  <c:v>8.7475783475783473</c:v>
                </c:pt>
                <c:pt idx="166">
                  <c:v>8.7834285714285727</c:v>
                </c:pt>
                <c:pt idx="167">
                  <c:v>8.9977011494252874</c:v>
                </c:pt>
                <c:pt idx="168">
                  <c:v>9.0962536023054739</c:v>
                </c:pt>
                <c:pt idx="169">
                  <c:v>9.3300578034682076</c:v>
                </c:pt>
                <c:pt idx="170">
                  <c:v>9.3160322952710484</c:v>
                </c:pt>
                <c:pt idx="171">
                  <c:v>9.1471264367816101</c:v>
                </c:pt>
                <c:pt idx="172">
                  <c:v>9.1342165898617509</c:v>
                </c:pt>
                <c:pt idx="173">
                  <c:v>9.0351585014409217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E8-4C9C-92CA-8633138E4139}"/>
            </c:ext>
          </c:extLst>
        </c:ser>
        <c:ser>
          <c:idx val="2"/>
          <c:order val="2"/>
          <c:tx>
            <c:v>Vout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Sheet1!$E$2:$E$175</c:f>
              <c:numCache>
                <c:formatCode>General</c:formatCode>
                <c:ptCount val="174"/>
                <c:pt idx="0">
                  <c:v>11.54</c:v>
                </c:pt>
                <c:pt idx="1">
                  <c:v>19.329999999999998</c:v>
                </c:pt>
                <c:pt idx="2">
                  <c:v>31.12</c:v>
                </c:pt>
                <c:pt idx="3">
                  <c:v>39.090000000000003</c:v>
                </c:pt>
                <c:pt idx="4">
                  <c:v>39.54</c:v>
                </c:pt>
                <c:pt idx="5">
                  <c:v>39.74</c:v>
                </c:pt>
                <c:pt idx="6">
                  <c:v>39.94</c:v>
                </c:pt>
                <c:pt idx="7">
                  <c:v>39.96</c:v>
                </c:pt>
                <c:pt idx="8">
                  <c:v>39.96</c:v>
                </c:pt>
                <c:pt idx="9">
                  <c:v>39.96</c:v>
                </c:pt>
                <c:pt idx="10">
                  <c:v>39.96</c:v>
                </c:pt>
                <c:pt idx="11">
                  <c:v>39.96</c:v>
                </c:pt>
                <c:pt idx="12">
                  <c:v>39.96</c:v>
                </c:pt>
                <c:pt idx="13">
                  <c:v>39.96</c:v>
                </c:pt>
                <c:pt idx="14">
                  <c:v>39.96</c:v>
                </c:pt>
                <c:pt idx="15">
                  <c:v>39.96</c:v>
                </c:pt>
                <c:pt idx="16">
                  <c:v>39.96</c:v>
                </c:pt>
                <c:pt idx="17">
                  <c:v>39.96</c:v>
                </c:pt>
                <c:pt idx="18">
                  <c:v>39.96</c:v>
                </c:pt>
                <c:pt idx="19">
                  <c:v>39.96</c:v>
                </c:pt>
                <c:pt idx="20">
                  <c:v>39.96</c:v>
                </c:pt>
                <c:pt idx="21">
                  <c:v>39.96</c:v>
                </c:pt>
                <c:pt idx="22">
                  <c:v>39.96</c:v>
                </c:pt>
                <c:pt idx="23">
                  <c:v>39.96</c:v>
                </c:pt>
                <c:pt idx="24">
                  <c:v>39.96</c:v>
                </c:pt>
                <c:pt idx="25">
                  <c:v>39.96</c:v>
                </c:pt>
                <c:pt idx="26">
                  <c:v>39.96</c:v>
                </c:pt>
                <c:pt idx="27">
                  <c:v>39.96</c:v>
                </c:pt>
                <c:pt idx="28">
                  <c:v>39.96</c:v>
                </c:pt>
                <c:pt idx="29">
                  <c:v>39.96</c:v>
                </c:pt>
                <c:pt idx="30">
                  <c:v>39.96</c:v>
                </c:pt>
                <c:pt idx="31">
                  <c:v>39.96</c:v>
                </c:pt>
                <c:pt idx="32">
                  <c:v>39.96</c:v>
                </c:pt>
                <c:pt idx="33">
                  <c:v>39.96</c:v>
                </c:pt>
                <c:pt idx="34">
                  <c:v>39.96</c:v>
                </c:pt>
                <c:pt idx="35">
                  <c:v>39.96</c:v>
                </c:pt>
                <c:pt idx="36">
                  <c:v>39.96</c:v>
                </c:pt>
                <c:pt idx="37">
                  <c:v>39.96</c:v>
                </c:pt>
                <c:pt idx="38">
                  <c:v>39.96</c:v>
                </c:pt>
                <c:pt idx="39">
                  <c:v>39.96</c:v>
                </c:pt>
                <c:pt idx="40">
                  <c:v>39.96</c:v>
                </c:pt>
                <c:pt idx="41">
                  <c:v>39.96</c:v>
                </c:pt>
                <c:pt idx="42">
                  <c:v>39.96</c:v>
                </c:pt>
                <c:pt idx="43">
                  <c:v>39.96</c:v>
                </c:pt>
                <c:pt idx="44">
                  <c:v>39.96</c:v>
                </c:pt>
                <c:pt idx="45">
                  <c:v>39.96</c:v>
                </c:pt>
                <c:pt idx="46">
                  <c:v>39.96</c:v>
                </c:pt>
                <c:pt idx="47">
                  <c:v>39.96</c:v>
                </c:pt>
                <c:pt idx="48">
                  <c:v>39.96</c:v>
                </c:pt>
                <c:pt idx="49">
                  <c:v>39.96</c:v>
                </c:pt>
                <c:pt idx="50">
                  <c:v>39.96</c:v>
                </c:pt>
                <c:pt idx="51">
                  <c:v>39.96</c:v>
                </c:pt>
                <c:pt idx="52">
                  <c:v>39.96</c:v>
                </c:pt>
                <c:pt idx="53">
                  <c:v>39.96</c:v>
                </c:pt>
                <c:pt idx="54">
                  <c:v>39.96</c:v>
                </c:pt>
                <c:pt idx="55">
                  <c:v>39.96</c:v>
                </c:pt>
                <c:pt idx="56">
                  <c:v>39.96</c:v>
                </c:pt>
                <c:pt idx="57">
                  <c:v>39.96</c:v>
                </c:pt>
                <c:pt idx="58">
                  <c:v>39.96</c:v>
                </c:pt>
                <c:pt idx="59">
                  <c:v>39.96</c:v>
                </c:pt>
                <c:pt idx="60">
                  <c:v>39.96</c:v>
                </c:pt>
                <c:pt idx="61">
                  <c:v>39.96</c:v>
                </c:pt>
                <c:pt idx="62">
                  <c:v>39.96</c:v>
                </c:pt>
                <c:pt idx="63">
                  <c:v>39.96</c:v>
                </c:pt>
                <c:pt idx="64">
                  <c:v>39.96</c:v>
                </c:pt>
                <c:pt idx="65">
                  <c:v>39.96</c:v>
                </c:pt>
                <c:pt idx="66">
                  <c:v>39.96</c:v>
                </c:pt>
                <c:pt idx="67">
                  <c:v>39.96</c:v>
                </c:pt>
                <c:pt idx="68">
                  <c:v>39.96</c:v>
                </c:pt>
                <c:pt idx="69">
                  <c:v>39.96</c:v>
                </c:pt>
                <c:pt idx="70">
                  <c:v>39.96</c:v>
                </c:pt>
                <c:pt idx="71">
                  <c:v>39.96</c:v>
                </c:pt>
                <c:pt idx="72">
                  <c:v>39.96</c:v>
                </c:pt>
                <c:pt idx="73">
                  <c:v>39.96</c:v>
                </c:pt>
                <c:pt idx="74">
                  <c:v>39.96</c:v>
                </c:pt>
                <c:pt idx="75">
                  <c:v>39.96</c:v>
                </c:pt>
                <c:pt idx="76">
                  <c:v>39.96</c:v>
                </c:pt>
                <c:pt idx="77">
                  <c:v>39.96</c:v>
                </c:pt>
                <c:pt idx="78">
                  <c:v>39.96</c:v>
                </c:pt>
                <c:pt idx="79">
                  <c:v>39.96</c:v>
                </c:pt>
                <c:pt idx="80">
                  <c:v>39.96</c:v>
                </c:pt>
                <c:pt idx="81">
                  <c:v>39.96</c:v>
                </c:pt>
                <c:pt idx="82">
                  <c:v>39.96</c:v>
                </c:pt>
                <c:pt idx="83">
                  <c:v>39.96</c:v>
                </c:pt>
                <c:pt idx="84">
                  <c:v>39.96</c:v>
                </c:pt>
                <c:pt idx="85">
                  <c:v>39.96</c:v>
                </c:pt>
                <c:pt idx="86">
                  <c:v>39.96</c:v>
                </c:pt>
                <c:pt idx="87">
                  <c:v>39.96</c:v>
                </c:pt>
                <c:pt idx="88">
                  <c:v>39.96</c:v>
                </c:pt>
                <c:pt idx="89">
                  <c:v>39.96</c:v>
                </c:pt>
                <c:pt idx="90">
                  <c:v>39.96</c:v>
                </c:pt>
                <c:pt idx="91">
                  <c:v>39.96</c:v>
                </c:pt>
                <c:pt idx="92">
                  <c:v>39.96</c:v>
                </c:pt>
                <c:pt idx="93">
                  <c:v>39.96</c:v>
                </c:pt>
                <c:pt idx="94">
                  <c:v>39.96</c:v>
                </c:pt>
                <c:pt idx="95">
                  <c:v>39.96</c:v>
                </c:pt>
                <c:pt idx="96">
                  <c:v>39.96</c:v>
                </c:pt>
                <c:pt idx="97">
                  <c:v>39.96</c:v>
                </c:pt>
                <c:pt idx="98">
                  <c:v>39.96</c:v>
                </c:pt>
                <c:pt idx="99">
                  <c:v>39.96</c:v>
                </c:pt>
                <c:pt idx="100">
                  <c:v>39.96</c:v>
                </c:pt>
                <c:pt idx="101">
                  <c:v>39.96</c:v>
                </c:pt>
                <c:pt idx="102">
                  <c:v>39.96</c:v>
                </c:pt>
                <c:pt idx="103">
                  <c:v>39.96</c:v>
                </c:pt>
                <c:pt idx="104">
                  <c:v>39.96</c:v>
                </c:pt>
                <c:pt idx="105">
                  <c:v>39.96</c:v>
                </c:pt>
                <c:pt idx="106">
                  <c:v>39.96</c:v>
                </c:pt>
                <c:pt idx="107">
                  <c:v>39.96</c:v>
                </c:pt>
                <c:pt idx="108">
                  <c:v>39.96</c:v>
                </c:pt>
                <c:pt idx="109">
                  <c:v>39.96</c:v>
                </c:pt>
                <c:pt idx="110">
                  <c:v>39.96</c:v>
                </c:pt>
                <c:pt idx="111">
                  <c:v>39.96</c:v>
                </c:pt>
                <c:pt idx="112">
                  <c:v>39.96</c:v>
                </c:pt>
                <c:pt idx="113">
                  <c:v>39.96</c:v>
                </c:pt>
                <c:pt idx="114">
                  <c:v>39.96</c:v>
                </c:pt>
                <c:pt idx="115">
                  <c:v>39.96</c:v>
                </c:pt>
                <c:pt idx="116">
                  <c:v>39.96</c:v>
                </c:pt>
                <c:pt idx="117">
                  <c:v>39.96</c:v>
                </c:pt>
                <c:pt idx="118">
                  <c:v>39.96</c:v>
                </c:pt>
                <c:pt idx="119">
                  <c:v>39.96</c:v>
                </c:pt>
                <c:pt idx="120">
                  <c:v>39.96</c:v>
                </c:pt>
                <c:pt idx="121">
                  <c:v>39.96</c:v>
                </c:pt>
                <c:pt idx="122">
                  <c:v>39.96</c:v>
                </c:pt>
                <c:pt idx="123">
                  <c:v>39.96</c:v>
                </c:pt>
                <c:pt idx="124">
                  <c:v>39.96</c:v>
                </c:pt>
                <c:pt idx="125">
                  <c:v>39.96</c:v>
                </c:pt>
                <c:pt idx="126">
                  <c:v>39.96</c:v>
                </c:pt>
                <c:pt idx="127">
                  <c:v>39.96</c:v>
                </c:pt>
                <c:pt idx="128">
                  <c:v>39.96</c:v>
                </c:pt>
                <c:pt idx="129">
                  <c:v>39.96</c:v>
                </c:pt>
                <c:pt idx="130">
                  <c:v>39.96</c:v>
                </c:pt>
                <c:pt idx="131">
                  <c:v>39.96</c:v>
                </c:pt>
                <c:pt idx="132">
                  <c:v>39.96</c:v>
                </c:pt>
                <c:pt idx="133">
                  <c:v>39.96</c:v>
                </c:pt>
                <c:pt idx="134">
                  <c:v>39.96</c:v>
                </c:pt>
                <c:pt idx="135">
                  <c:v>39.96</c:v>
                </c:pt>
                <c:pt idx="136">
                  <c:v>39.96</c:v>
                </c:pt>
                <c:pt idx="137">
                  <c:v>39.96</c:v>
                </c:pt>
                <c:pt idx="138">
                  <c:v>39.96</c:v>
                </c:pt>
                <c:pt idx="139">
                  <c:v>39.96</c:v>
                </c:pt>
                <c:pt idx="140">
                  <c:v>39.96</c:v>
                </c:pt>
                <c:pt idx="141">
                  <c:v>39.96</c:v>
                </c:pt>
                <c:pt idx="142">
                  <c:v>39.96</c:v>
                </c:pt>
                <c:pt idx="143">
                  <c:v>39.96</c:v>
                </c:pt>
                <c:pt idx="144">
                  <c:v>39.96</c:v>
                </c:pt>
                <c:pt idx="145">
                  <c:v>39.96</c:v>
                </c:pt>
                <c:pt idx="146">
                  <c:v>39.96</c:v>
                </c:pt>
                <c:pt idx="147">
                  <c:v>39.96</c:v>
                </c:pt>
                <c:pt idx="148">
                  <c:v>39.96</c:v>
                </c:pt>
                <c:pt idx="149">
                  <c:v>39.96</c:v>
                </c:pt>
                <c:pt idx="150">
                  <c:v>39.96</c:v>
                </c:pt>
                <c:pt idx="151">
                  <c:v>39.96</c:v>
                </c:pt>
                <c:pt idx="152">
                  <c:v>39.96</c:v>
                </c:pt>
                <c:pt idx="153">
                  <c:v>39.96</c:v>
                </c:pt>
                <c:pt idx="154">
                  <c:v>39.96</c:v>
                </c:pt>
                <c:pt idx="155">
                  <c:v>39.96</c:v>
                </c:pt>
                <c:pt idx="156">
                  <c:v>39.96</c:v>
                </c:pt>
                <c:pt idx="157">
                  <c:v>39.96</c:v>
                </c:pt>
                <c:pt idx="158">
                  <c:v>39.96</c:v>
                </c:pt>
                <c:pt idx="159">
                  <c:v>39.96</c:v>
                </c:pt>
                <c:pt idx="160">
                  <c:v>39.96</c:v>
                </c:pt>
                <c:pt idx="161">
                  <c:v>39.96</c:v>
                </c:pt>
                <c:pt idx="162">
                  <c:v>39.96</c:v>
                </c:pt>
                <c:pt idx="163">
                  <c:v>39.96</c:v>
                </c:pt>
                <c:pt idx="164">
                  <c:v>39.96</c:v>
                </c:pt>
                <c:pt idx="165">
                  <c:v>39.96</c:v>
                </c:pt>
                <c:pt idx="166">
                  <c:v>39.96</c:v>
                </c:pt>
                <c:pt idx="167">
                  <c:v>39.96</c:v>
                </c:pt>
                <c:pt idx="168">
                  <c:v>39.96</c:v>
                </c:pt>
                <c:pt idx="169">
                  <c:v>39.96</c:v>
                </c:pt>
                <c:pt idx="170">
                  <c:v>39.96</c:v>
                </c:pt>
                <c:pt idx="171">
                  <c:v>39.96</c:v>
                </c:pt>
                <c:pt idx="172">
                  <c:v>39.96</c:v>
                </c:pt>
                <c:pt idx="173">
                  <c:v>39.96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E8-4C9C-92CA-8633138E4139}"/>
            </c:ext>
          </c:extLst>
        </c:ser>
        <c:ser>
          <c:idx val="3"/>
          <c:order val="3"/>
          <c:tx>
            <c:v>Iout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Sheet1!$A$2:$A$175</c:f>
              <c:numCache>
                <c:formatCode>General</c:formatCode>
                <c:ptCount val="1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</c:numCache>
            </c:numRef>
          </c:xVal>
          <c:yVal>
            <c:numRef>
              <c:f>Sheet1!$F$2:$F$175</c:f>
              <c:numCache>
                <c:formatCode>General</c:formatCode>
                <c:ptCount val="174"/>
                <c:pt idx="0">
                  <c:v>0.83</c:v>
                </c:pt>
                <c:pt idx="1">
                  <c:v>1.4</c:v>
                </c:pt>
                <c:pt idx="2">
                  <c:v>2.25</c:v>
                </c:pt>
                <c:pt idx="3">
                  <c:v>2.83</c:v>
                </c:pt>
                <c:pt idx="4">
                  <c:v>2.87</c:v>
                </c:pt>
                <c:pt idx="5">
                  <c:v>2.9</c:v>
                </c:pt>
                <c:pt idx="6">
                  <c:v>2.96</c:v>
                </c:pt>
                <c:pt idx="7">
                  <c:v>2.99</c:v>
                </c:pt>
                <c:pt idx="8">
                  <c:v>3.03</c:v>
                </c:pt>
                <c:pt idx="9">
                  <c:v>3.06</c:v>
                </c:pt>
                <c:pt idx="10">
                  <c:v>3.09</c:v>
                </c:pt>
                <c:pt idx="11">
                  <c:v>3.12</c:v>
                </c:pt>
                <c:pt idx="12">
                  <c:v>3.15</c:v>
                </c:pt>
                <c:pt idx="13">
                  <c:v>3.17</c:v>
                </c:pt>
                <c:pt idx="14">
                  <c:v>3.18</c:v>
                </c:pt>
                <c:pt idx="15">
                  <c:v>3.19</c:v>
                </c:pt>
                <c:pt idx="16">
                  <c:v>3.19</c:v>
                </c:pt>
                <c:pt idx="17">
                  <c:v>3.16</c:v>
                </c:pt>
                <c:pt idx="18">
                  <c:v>3.16</c:v>
                </c:pt>
                <c:pt idx="19">
                  <c:v>3.15</c:v>
                </c:pt>
                <c:pt idx="20">
                  <c:v>3.16</c:v>
                </c:pt>
                <c:pt idx="21">
                  <c:v>3.17</c:v>
                </c:pt>
                <c:pt idx="22">
                  <c:v>3.19</c:v>
                </c:pt>
                <c:pt idx="23">
                  <c:v>3.19</c:v>
                </c:pt>
                <c:pt idx="24">
                  <c:v>3.18</c:v>
                </c:pt>
                <c:pt idx="25">
                  <c:v>3.17</c:v>
                </c:pt>
                <c:pt idx="26">
                  <c:v>3.14</c:v>
                </c:pt>
                <c:pt idx="27">
                  <c:v>3.13</c:v>
                </c:pt>
                <c:pt idx="28">
                  <c:v>3.13</c:v>
                </c:pt>
                <c:pt idx="29">
                  <c:v>3.14</c:v>
                </c:pt>
                <c:pt idx="30">
                  <c:v>3.16</c:v>
                </c:pt>
                <c:pt idx="31">
                  <c:v>3.18</c:v>
                </c:pt>
                <c:pt idx="32">
                  <c:v>3.19</c:v>
                </c:pt>
                <c:pt idx="33">
                  <c:v>3.19</c:v>
                </c:pt>
                <c:pt idx="34">
                  <c:v>3.19</c:v>
                </c:pt>
                <c:pt idx="35">
                  <c:v>3.19</c:v>
                </c:pt>
                <c:pt idx="36">
                  <c:v>3.18</c:v>
                </c:pt>
                <c:pt idx="37">
                  <c:v>3.17</c:v>
                </c:pt>
                <c:pt idx="38">
                  <c:v>3.15</c:v>
                </c:pt>
                <c:pt idx="39">
                  <c:v>3.15</c:v>
                </c:pt>
                <c:pt idx="40">
                  <c:v>3.16</c:v>
                </c:pt>
                <c:pt idx="41">
                  <c:v>3.17</c:v>
                </c:pt>
                <c:pt idx="42">
                  <c:v>3.18</c:v>
                </c:pt>
                <c:pt idx="43">
                  <c:v>3.19</c:v>
                </c:pt>
                <c:pt idx="44">
                  <c:v>3.19</c:v>
                </c:pt>
                <c:pt idx="45">
                  <c:v>3.18</c:v>
                </c:pt>
                <c:pt idx="46">
                  <c:v>3.18</c:v>
                </c:pt>
                <c:pt idx="47">
                  <c:v>3.18</c:v>
                </c:pt>
                <c:pt idx="48">
                  <c:v>3.19</c:v>
                </c:pt>
                <c:pt idx="49">
                  <c:v>3.19</c:v>
                </c:pt>
                <c:pt idx="50">
                  <c:v>3.18</c:v>
                </c:pt>
                <c:pt idx="51">
                  <c:v>3.18</c:v>
                </c:pt>
                <c:pt idx="52">
                  <c:v>3.18</c:v>
                </c:pt>
                <c:pt idx="53">
                  <c:v>3.18</c:v>
                </c:pt>
                <c:pt idx="54">
                  <c:v>3.19</c:v>
                </c:pt>
                <c:pt idx="55">
                  <c:v>3.19</c:v>
                </c:pt>
                <c:pt idx="56">
                  <c:v>3.19</c:v>
                </c:pt>
                <c:pt idx="57">
                  <c:v>3.18</c:v>
                </c:pt>
                <c:pt idx="58">
                  <c:v>3.18</c:v>
                </c:pt>
                <c:pt idx="59">
                  <c:v>3.16</c:v>
                </c:pt>
                <c:pt idx="60">
                  <c:v>3.15</c:v>
                </c:pt>
                <c:pt idx="61">
                  <c:v>3.16</c:v>
                </c:pt>
                <c:pt idx="62">
                  <c:v>3.16</c:v>
                </c:pt>
                <c:pt idx="63">
                  <c:v>3.17</c:v>
                </c:pt>
                <c:pt idx="64">
                  <c:v>3.19</c:v>
                </c:pt>
                <c:pt idx="65">
                  <c:v>3.19</c:v>
                </c:pt>
                <c:pt idx="66">
                  <c:v>3.19</c:v>
                </c:pt>
                <c:pt idx="67">
                  <c:v>3.19</c:v>
                </c:pt>
                <c:pt idx="68">
                  <c:v>3.19</c:v>
                </c:pt>
                <c:pt idx="69">
                  <c:v>3.18</c:v>
                </c:pt>
                <c:pt idx="70">
                  <c:v>3.18</c:v>
                </c:pt>
                <c:pt idx="71">
                  <c:v>3.18</c:v>
                </c:pt>
                <c:pt idx="72">
                  <c:v>3.18</c:v>
                </c:pt>
                <c:pt idx="73">
                  <c:v>3.18</c:v>
                </c:pt>
                <c:pt idx="74">
                  <c:v>3.19</c:v>
                </c:pt>
                <c:pt idx="75">
                  <c:v>3.18</c:v>
                </c:pt>
                <c:pt idx="76">
                  <c:v>3.16</c:v>
                </c:pt>
                <c:pt idx="77">
                  <c:v>3.15</c:v>
                </c:pt>
                <c:pt idx="78">
                  <c:v>3.16</c:v>
                </c:pt>
                <c:pt idx="79">
                  <c:v>3.16</c:v>
                </c:pt>
                <c:pt idx="80">
                  <c:v>3.18</c:v>
                </c:pt>
                <c:pt idx="81">
                  <c:v>3.19</c:v>
                </c:pt>
                <c:pt idx="82">
                  <c:v>3.19</c:v>
                </c:pt>
                <c:pt idx="83">
                  <c:v>3.18</c:v>
                </c:pt>
                <c:pt idx="84">
                  <c:v>3.17</c:v>
                </c:pt>
                <c:pt idx="85">
                  <c:v>3.15</c:v>
                </c:pt>
                <c:pt idx="86">
                  <c:v>3.14</c:v>
                </c:pt>
                <c:pt idx="87">
                  <c:v>3.14</c:v>
                </c:pt>
                <c:pt idx="88">
                  <c:v>3.14</c:v>
                </c:pt>
                <c:pt idx="89">
                  <c:v>3.17</c:v>
                </c:pt>
                <c:pt idx="90">
                  <c:v>3.18</c:v>
                </c:pt>
                <c:pt idx="91">
                  <c:v>3.19</c:v>
                </c:pt>
                <c:pt idx="92">
                  <c:v>3.19</c:v>
                </c:pt>
                <c:pt idx="93">
                  <c:v>3.19</c:v>
                </c:pt>
                <c:pt idx="94">
                  <c:v>3.17</c:v>
                </c:pt>
                <c:pt idx="95">
                  <c:v>3.16</c:v>
                </c:pt>
                <c:pt idx="96">
                  <c:v>3.16</c:v>
                </c:pt>
                <c:pt idx="97">
                  <c:v>3.17</c:v>
                </c:pt>
                <c:pt idx="98">
                  <c:v>3.18</c:v>
                </c:pt>
                <c:pt idx="99">
                  <c:v>3.19</c:v>
                </c:pt>
                <c:pt idx="100">
                  <c:v>3.19</c:v>
                </c:pt>
                <c:pt idx="101">
                  <c:v>3.19</c:v>
                </c:pt>
                <c:pt idx="102">
                  <c:v>3.19</c:v>
                </c:pt>
                <c:pt idx="103">
                  <c:v>3.19</c:v>
                </c:pt>
                <c:pt idx="104">
                  <c:v>3.19</c:v>
                </c:pt>
                <c:pt idx="105">
                  <c:v>3.19</c:v>
                </c:pt>
                <c:pt idx="106">
                  <c:v>3.17</c:v>
                </c:pt>
                <c:pt idx="107">
                  <c:v>3.16</c:v>
                </c:pt>
                <c:pt idx="108">
                  <c:v>3.16</c:v>
                </c:pt>
                <c:pt idx="109">
                  <c:v>3.16</c:v>
                </c:pt>
                <c:pt idx="110">
                  <c:v>3.18</c:v>
                </c:pt>
                <c:pt idx="111">
                  <c:v>3.19</c:v>
                </c:pt>
                <c:pt idx="112">
                  <c:v>3.19</c:v>
                </c:pt>
                <c:pt idx="113">
                  <c:v>3.18</c:v>
                </c:pt>
                <c:pt idx="114">
                  <c:v>3.17</c:v>
                </c:pt>
                <c:pt idx="115">
                  <c:v>3.17</c:v>
                </c:pt>
                <c:pt idx="116">
                  <c:v>3.17</c:v>
                </c:pt>
                <c:pt idx="117">
                  <c:v>3.18</c:v>
                </c:pt>
                <c:pt idx="118">
                  <c:v>3.18</c:v>
                </c:pt>
                <c:pt idx="119">
                  <c:v>3.17</c:v>
                </c:pt>
                <c:pt idx="120">
                  <c:v>3.14</c:v>
                </c:pt>
                <c:pt idx="121">
                  <c:v>3.13</c:v>
                </c:pt>
                <c:pt idx="122">
                  <c:v>3.12</c:v>
                </c:pt>
                <c:pt idx="123">
                  <c:v>3.13</c:v>
                </c:pt>
                <c:pt idx="124">
                  <c:v>3.16</c:v>
                </c:pt>
                <c:pt idx="125">
                  <c:v>3.17</c:v>
                </c:pt>
                <c:pt idx="126">
                  <c:v>3.18</c:v>
                </c:pt>
                <c:pt idx="127">
                  <c:v>3.19</c:v>
                </c:pt>
                <c:pt idx="128">
                  <c:v>3.19</c:v>
                </c:pt>
                <c:pt idx="129">
                  <c:v>3.19</c:v>
                </c:pt>
                <c:pt idx="130">
                  <c:v>3.18</c:v>
                </c:pt>
                <c:pt idx="131">
                  <c:v>3.17</c:v>
                </c:pt>
                <c:pt idx="132">
                  <c:v>3.18</c:v>
                </c:pt>
                <c:pt idx="133">
                  <c:v>3.18</c:v>
                </c:pt>
                <c:pt idx="134">
                  <c:v>3.18</c:v>
                </c:pt>
                <c:pt idx="135">
                  <c:v>3.18</c:v>
                </c:pt>
                <c:pt idx="136">
                  <c:v>3.16</c:v>
                </c:pt>
                <c:pt idx="137">
                  <c:v>3.15</c:v>
                </c:pt>
                <c:pt idx="138">
                  <c:v>3.16</c:v>
                </c:pt>
                <c:pt idx="139">
                  <c:v>3.17</c:v>
                </c:pt>
                <c:pt idx="140">
                  <c:v>3.18</c:v>
                </c:pt>
                <c:pt idx="141">
                  <c:v>3.19</c:v>
                </c:pt>
                <c:pt idx="142">
                  <c:v>3.2</c:v>
                </c:pt>
                <c:pt idx="143">
                  <c:v>3.19</c:v>
                </c:pt>
                <c:pt idx="144">
                  <c:v>3.18</c:v>
                </c:pt>
                <c:pt idx="145">
                  <c:v>3.16</c:v>
                </c:pt>
                <c:pt idx="146">
                  <c:v>3.14</c:v>
                </c:pt>
                <c:pt idx="147">
                  <c:v>3.13</c:v>
                </c:pt>
                <c:pt idx="148">
                  <c:v>3.14</c:v>
                </c:pt>
                <c:pt idx="149">
                  <c:v>3.13</c:v>
                </c:pt>
                <c:pt idx="150">
                  <c:v>3.13</c:v>
                </c:pt>
                <c:pt idx="151">
                  <c:v>3.12</c:v>
                </c:pt>
                <c:pt idx="152">
                  <c:v>3.09</c:v>
                </c:pt>
                <c:pt idx="153">
                  <c:v>3.08</c:v>
                </c:pt>
                <c:pt idx="154">
                  <c:v>3.07</c:v>
                </c:pt>
                <c:pt idx="155">
                  <c:v>3.09</c:v>
                </c:pt>
                <c:pt idx="156">
                  <c:v>3.11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3.19</c:v>
                </c:pt>
                <c:pt idx="161">
                  <c:v>3.19</c:v>
                </c:pt>
                <c:pt idx="162">
                  <c:v>3.18</c:v>
                </c:pt>
                <c:pt idx="163">
                  <c:v>3.16</c:v>
                </c:pt>
                <c:pt idx="164">
                  <c:v>3.15</c:v>
                </c:pt>
                <c:pt idx="165">
                  <c:v>3.15</c:v>
                </c:pt>
                <c:pt idx="166">
                  <c:v>3.16</c:v>
                </c:pt>
                <c:pt idx="167">
                  <c:v>3.18</c:v>
                </c:pt>
                <c:pt idx="168">
                  <c:v>3.18</c:v>
                </c:pt>
                <c:pt idx="169">
                  <c:v>3.19</c:v>
                </c:pt>
                <c:pt idx="170">
                  <c:v>3.19</c:v>
                </c:pt>
                <c:pt idx="171">
                  <c:v>3.18</c:v>
                </c:pt>
                <c:pt idx="172">
                  <c:v>3.17</c:v>
                </c:pt>
                <c:pt idx="173">
                  <c:v>3.17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E8-4C9C-92CA-8633138E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405152"/>
        <c:axId val="1809397952"/>
      </c:scatterChart>
      <c:valAx>
        <c:axId val="180940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97952"/>
        <c:crosses val="autoZero"/>
        <c:crossBetween val="midCat"/>
      </c:valAx>
      <c:valAx>
        <c:axId val="18093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0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361949</xdr:colOff>
      <xdr:row>1</xdr:row>
      <xdr:rowOff>80961</xdr:rowOff>
    </xdr:from>
    <xdr:to>
      <xdr:col>23</xdr:col>
      <xdr:colOff>600075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36FDF-C342-D73B-9F96-A12677EA1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379268</xdr:colOff>
      <xdr:row>21</xdr:row>
      <xdr:rowOff>155864</xdr:rowOff>
    </xdr:from>
    <xdr:to>
      <xdr:col>23</xdr:col>
      <xdr:colOff>590549</xdr:colOff>
      <xdr:row>39</xdr:row>
      <xdr:rowOff>103909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2BFF5A-446C-0592-7D5F-C4B072848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371475</xdr:colOff>
      <xdr:row>40</xdr:row>
      <xdr:rowOff>23812</xdr:rowOff>
    </xdr:from>
    <xdr:to>
      <xdr:col>23</xdr:col>
      <xdr:colOff>542925</xdr:colOff>
      <xdr:row>64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6371E2-00E4-966A-E445-36E0790E8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361950</xdr:colOff>
      <xdr:row>64</xdr:row>
      <xdr:rowOff>109537</xdr:rowOff>
    </xdr:from>
    <xdr:to>
      <xdr:col>24</xdr:col>
      <xdr:colOff>19050</xdr:colOff>
      <xdr:row>84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6C3D64-5654-70FD-AC6B-31519C2CF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B4902-E1CA-4664-AC82-496C76F1D8D2}" name="Table1" displayName="Table1" ref="A1:L175" totalsRowShown="0" headerRowDxfId="9" headerRowCellStyle="Check Cell">
  <autoFilter ref="A1:L175" xr:uid="{3BEB4902-E1CA-4664-AC82-496C76F1D8D2}"/>
  <tableColumns count="12">
    <tableColumn id="1" xr3:uid="{57F2469D-2535-49FC-A1C7-05DA2D2A09C2}" name="dt(s)" dataDxfId="8" dataCellStyle="Note"/>
    <tableColumn id="2" xr3:uid="{B10B4DAB-F30C-4E15-AE4B-DD0247A15A19}" name="Vpv(V)"/>
    <tableColumn id="11" xr3:uid="{BFA8C7D2-E6DF-49C7-AA4B-7857FE4CB612}" name="Ipv(A)" dataDxfId="7">
      <calculatedColumnFormula>Table1[[#This Row],[Ppv(W)]]/Table1[[#This Row],[Vpv(V)]]</calculatedColumnFormula>
    </tableColumn>
    <tableColumn id="3" xr3:uid="{C1B9B617-4E9C-4FF4-BBD3-5D31FCFB0C6A}" name="Ppv(W)"/>
    <tableColumn id="4" xr3:uid="{BE9380D9-BD2E-46D0-9303-A80685660C6D}" name="Vout(V)"/>
    <tableColumn id="5" xr3:uid="{807F2BD9-FA9C-43B6-8EBB-ADFF1D4E4C68}" name="Iout(A)"/>
    <tableColumn id="6" xr3:uid="{E6DF8B63-4F6E-4D7D-8F24-12E86D7E5089}" name="Pout(W)"/>
    <tableColumn id="7" xr3:uid="{D5310C35-B66C-4C09-92C2-512333A8FE58}" name="D_val" dataDxfId="6"/>
    <tableColumn id="12" xr3:uid="{6963C0E2-9141-4168-BC4D-0DAD16EAFD96}" name="State Graph" dataDxfId="5">
      <calculatedColumnFormula>Table1[[#This Row],[State]]*10</calculatedColumnFormula>
    </tableColumn>
    <tableColumn id="8" xr3:uid="{FB39410D-4253-46EE-B422-2295F026C632}" name="State" dataDxfId="4"/>
    <tableColumn id="9" xr3:uid="{E2C69507-63A0-43A5-83A7-4020A6403A47}" name="MPP_D_val"/>
    <tableColumn id="10" xr3:uid="{EAD0AB69-7592-4897-BBF9-838DFE773B95}" name="η(%)" dataDxfId="3">
      <calculatedColumnFormula>(G2/D2)*100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59292-E81C-4856-B370-5C36D58CAF3F}" name="Table2" displayName="Table2" ref="Z5:Z6" totalsRowShown="0" dataDxfId="0">
  <autoFilter ref="Z5:Z6" xr:uid="{A7E59292-E81C-4856-B370-5C36D58CAF3F}"/>
  <tableColumns count="1">
    <tableColumn id="1" xr3:uid="{09B88932-DC09-42E7-996D-062128A89BDC}" name="EFICENTA MEDIE" dataDxfId="1">
      <calculatedColumnFormula>SUM(Table1[η(%)])/COUNT(Table1[η(%)])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5"/>
  <sheetViews>
    <sheetView tabSelected="1" zoomScaleNormal="100" workbookViewId="0">
      <selection activeCell="Z10" sqref="Z10"/>
    </sheetView>
  </sheetViews>
  <sheetFormatPr defaultRowHeight="15" x14ac:dyDescent="0.25"/>
  <cols>
    <col min="1" max="1" width="5.5703125" customWidth="1"/>
    <col min="2" max="2" width="11.28515625" customWidth="1"/>
    <col min="3" max="3" width="10.5703125" customWidth="1"/>
    <col min="4" max="4" width="12.140625" customWidth="1"/>
    <col min="5" max="5" width="11.28515625" customWidth="1"/>
    <col min="6" max="6" width="13.28515625" customWidth="1"/>
    <col min="7" max="7" width="11.85546875" customWidth="1"/>
    <col min="8" max="8" width="11.5703125" customWidth="1"/>
    <col min="9" max="9" width="5.7109375" customWidth="1"/>
    <col min="10" max="10" width="9.28515625" customWidth="1"/>
    <col min="26" max="26" width="17.5703125" customWidth="1"/>
  </cols>
  <sheetData>
    <row r="1" spans="1:26" ht="16.5" thickTop="1" thickBot="1" x14ac:dyDescent="0.3">
      <c r="A1" s="4" t="s">
        <v>8</v>
      </c>
      <c r="B1" s="5" t="s">
        <v>0</v>
      </c>
      <c r="C1" s="5" t="s">
        <v>10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11</v>
      </c>
      <c r="J1" s="5" t="s">
        <v>6</v>
      </c>
      <c r="K1" s="5" t="s">
        <v>7</v>
      </c>
      <c r="L1" s="5" t="s">
        <v>9</v>
      </c>
    </row>
    <row r="2" spans="1:26" ht="15.75" thickTop="1" x14ac:dyDescent="0.25">
      <c r="A2" s="7">
        <v>1</v>
      </c>
      <c r="B2">
        <v>5.64</v>
      </c>
      <c r="C2" s="2">
        <f>Table1[[#This Row],[Ppv(W)]]/Table1[[#This Row],[Vpv(V)]]</f>
        <v>5.9698581560283692</v>
      </c>
      <c r="D2">
        <v>33.67</v>
      </c>
      <c r="E2">
        <v>11.54</v>
      </c>
      <c r="F2">
        <v>0.83</v>
      </c>
      <c r="G2">
        <v>31.99</v>
      </c>
      <c r="H2" s="6">
        <v>41.38</v>
      </c>
      <c r="I2" s="6">
        <f>Table1[[#This Row],[State]]*10</f>
        <v>30</v>
      </c>
      <c r="J2" s="1">
        <v>3</v>
      </c>
      <c r="K2">
        <v>0</v>
      </c>
      <c r="L2" s="3">
        <f>(G2/D2)*100</f>
        <v>95.010395010395001</v>
      </c>
    </row>
    <row r="3" spans="1:26" x14ac:dyDescent="0.25">
      <c r="A3" s="7">
        <v>2</v>
      </c>
      <c r="B3">
        <v>9.36</v>
      </c>
      <c r="C3" s="2">
        <f>Table1[[#This Row],[Ppv(W)]]/Table1[[#This Row],[Vpv(V)]]</f>
        <v>6.0897435897435903</v>
      </c>
      <c r="D3">
        <v>57</v>
      </c>
      <c r="E3">
        <v>19.329999999999998</v>
      </c>
      <c r="F3">
        <v>1.4</v>
      </c>
      <c r="G3">
        <v>53.99</v>
      </c>
      <c r="H3" s="6">
        <v>42.95</v>
      </c>
      <c r="I3" s="6">
        <f>Table1[[#This Row],[State]]*10</f>
        <v>30</v>
      </c>
      <c r="J3" s="1">
        <v>3</v>
      </c>
      <c r="K3">
        <v>0</v>
      </c>
      <c r="L3" s="3">
        <f t="shared" ref="L3:L66" si="0">(G3/D3)*100</f>
        <v>94.719298245614041</v>
      </c>
    </row>
    <row r="4" spans="1:26" x14ac:dyDescent="0.25">
      <c r="A4" s="7">
        <v>3</v>
      </c>
      <c r="B4">
        <v>14.92</v>
      </c>
      <c r="C4" s="2">
        <f>Table1[[#This Row],[Ppv(W)]]/Table1[[#This Row],[Vpv(V)]]</f>
        <v>6.1487935656836461</v>
      </c>
      <c r="D4">
        <v>91.74</v>
      </c>
      <c r="E4">
        <v>31.12</v>
      </c>
      <c r="F4">
        <v>2.25</v>
      </c>
      <c r="G4">
        <v>87.6</v>
      </c>
      <c r="H4" s="6">
        <v>44.51</v>
      </c>
      <c r="I4" s="6">
        <f>Table1[[#This Row],[State]]*10</f>
        <v>30</v>
      </c>
      <c r="J4" s="1">
        <v>3</v>
      </c>
      <c r="K4">
        <v>0</v>
      </c>
      <c r="L4" s="3">
        <f t="shared" si="0"/>
        <v>95.487246566383249</v>
      </c>
    </row>
    <row r="5" spans="1:26" x14ac:dyDescent="0.25">
      <c r="A5" s="7">
        <v>4</v>
      </c>
      <c r="B5">
        <v>18.600000000000001</v>
      </c>
      <c r="C5" s="2">
        <f>Table1[[#This Row],[Ppv(W)]]/Table1[[#This Row],[Vpv(V)]]</f>
        <v>6.2499999999999991</v>
      </c>
      <c r="D5">
        <v>116.25</v>
      </c>
      <c r="E5">
        <v>39.090000000000003</v>
      </c>
      <c r="F5">
        <v>2.83</v>
      </c>
      <c r="G5">
        <v>110.53</v>
      </c>
      <c r="H5" s="6">
        <v>46.08</v>
      </c>
      <c r="I5" s="6">
        <f>Table1[[#This Row],[State]]*10</f>
        <v>30</v>
      </c>
      <c r="J5" s="1">
        <v>3</v>
      </c>
      <c r="K5">
        <v>0</v>
      </c>
      <c r="L5" s="3">
        <f t="shared" si="0"/>
        <v>95.079569892473117</v>
      </c>
      <c r="Z5" t="s">
        <v>12</v>
      </c>
    </row>
    <row r="6" spans="1:26" ht="18.75" x14ac:dyDescent="0.3">
      <c r="A6" s="7">
        <v>5</v>
      </c>
      <c r="B6">
        <v>18.43</v>
      </c>
      <c r="C6" s="2">
        <f>Table1[[#This Row],[Ppv(W)]]/Table1[[#This Row],[Vpv(V)]]</f>
        <v>6.5420510037981545</v>
      </c>
      <c r="D6">
        <v>120.57</v>
      </c>
      <c r="E6">
        <v>39.54</v>
      </c>
      <c r="F6">
        <v>2.87</v>
      </c>
      <c r="G6">
        <v>113.55</v>
      </c>
      <c r="H6" s="6">
        <v>47.65</v>
      </c>
      <c r="I6" s="6">
        <f>Table1[[#This Row],[State]]*10</f>
        <v>10</v>
      </c>
      <c r="J6" s="1">
        <v>1</v>
      </c>
      <c r="K6">
        <v>0</v>
      </c>
      <c r="L6" s="3">
        <f t="shared" si="0"/>
        <v>94.177656133366511</v>
      </c>
      <c r="Z6" s="8">
        <f>SUM(Table1[η(%)])/COUNT(Table1[η(%)])</f>
        <v>81.476964212657919</v>
      </c>
    </row>
    <row r="7" spans="1:26" x14ac:dyDescent="0.25">
      <c r="A7" s="7">
        <v>6</v>
      </c>
      <c r="B7">
        <v>18.37</v>
      </c>
      <c r="C7" s="2">
        <f>Table1[[#This Row],[Ppv(W)]]/Table1[[#This Row],[Vpv(V)]]</f>
        <v>6.72509526401742</v>
      </c>
      <c r="D7">
        <v>123.54</v>
      </c>
      <c r="E7">
        <v>39.74</v>
      </c>
      <c r="F7">
        <v>2.9</v>
      </c>
      <c r="G7">
        <v>115.39</v>
      </c>
      <c r="H7" s="6">
        <v>49.22</v>
      </c>
      <c r="I7" s="6">
        <f>Table1[[#This Row],[State]]*10</f>
        <v>10</v>
      </c>
      <c r="J7" s="1">
        <v>1</v>
      </c>
      <c r="K7">
        <v>0</v>
      </c>
      <c r="L7" s="3">
        <f t="shared" si="0"/>
        <v>93.402946414116883</v>
      </c>
    </row>
    <row r="8" spans="1:26" x14ac:dyDescent="0.25">
      <c r="A8" s="7">
        <v>7</v>
      </c>
      <c r="B8">
        <v>18.190000000000001</v>
      </c>
      <c r="C8" s="2">
        <f>Table1[[#This Row],[Ppv(W)]]/Table1[[#This Row],[Vpv(V)]]</f>
        <v>7.097306212204507</v>
      </c>
      <c r="D8">
        <v>129.1</v>
      </c>
      <c r="E8">
        <v>39.94</v>
      </c>
      <c r="F8">
        <v>2.96</v>
      </c>
      <c r="G8">
        <v>118.06</v>
      </c>
      <c r="H8" s="6">
        <v>50.78</v>
      </c>
      <c r="I8" s="6">
        <f>Table1[[#This Row],[State]]*10</f>
        <v>10</v>
      </c>
      <c r="J8" s="1">
        <v>1</v>
      </c>
      <c r="K8">
        <v>0</v>
      </c>
      <c r="L8" s="3">
        <f t="shared" si="0"/>
        <v>91.448489542989947</v>
      </c>
    </row>
    <row r="9" spans="1:26" x14ac:dyDescent="0.25">
      <c r="A9" s="7">
        <v>8</v>
      </c>
      <c r="B9">
        <v>18.12</v>
      </c>
      <c r="C9" s="2">
        <f>Table1[[#This Row],[Ppv(W)]]/Table1[[#This Row],[Vpv(V)]]</f>
        <v>7.2781456953642376</v>
      </c>
      <c r="D9">
        <v>131.88</v>
      </c>
      <c r="E9">
        <v>39.96</v>
      </c>
      <c r="F9">
        <v>2.99</v>
      </c>
      <c r="G9">
        <v>119.39</v>
      </c>
      <c r="H9" s="6">
        <v>52.35</v>
      </c>
      <c r="I9" s="6">
        <f>Table1[[#This Row],[State]]*10</f>
        <v>10</v>
      </c>
      <c r="J9" s="1">
        <v>1</v>
      </c>
      <c r="K9">
        <v>0</v>
      </c>
      <c r="L9" s="3">
        <f t="shared" si="0"/>
        <v>90.529269032453755</v>
      </c>
    </row>
    <row r="10" spans="1:26" x14ac:dyDescent="0.25">
      <c r="A10" s="7">
        <v>9</v>
      </c>
      <c r="B10">
        <v>17.989999999999998</v>
      </c>
      <c r="C10" s="2">
        <f>Table1[[#This Row],[Ppv(W)]]/Table1[[#This Row],[Vpv(V)]]</f>
        <v>7.5864369093941075</v>
      </c>
      <c r="D10">
        <v>136.47999999999999</v>
      </c>
      <c r="E10">
        <v>39.96</v>
      </c>
      <c r="F10">
        <v>3.03</v>
      </c>
      <c r="G10">
        <v>121.19</v>
      </c>
      <c r="H10" s="6">
        <v>53.92</v>
      </c>
      <c r="I10" s="6">
        <f>Table1[[#This Row],[State]]*10</f>
        <v>10</v>
      </c>
      <c r="J10" s="1">
        <v>1</v>
      </c>
      <c r="K10">
        <v>0</v>
      </c>
      <c r="L10" s="3">
        <f t="shared" si="0"/>
        <v>88.796893317702228</v>
      </c>
    </row>
    <row r="11" spans="1:26" x14ac:dyDescent="0.25">
      <c r="A11" s="7">
        <v>10</v>
      </c>
      <c r="B11">
        <v>17.87</v>
      </c>
      <c r="C11" s="2">
        <f>Table1[[#This Row],[Ppv(W)]]/Table1[[#This Row],[Vpv(V)]]</f>
        <v>7.7761611639619472</v>
      </c>
      <c r="D11">
        <v>138.96</v>
      </c>
      <c r="E11">
        <v>39.96</v>
      </c>
      <c r="F11">
        <v>3.06</v>
      </c>
      <c r="G11">
        <v>122.24</v>
      </c>
      <c r="H11" s="6">
        <v>55.49</v>
      </c>
      <c r="I11" s="6">
        <f>Table1[[#This Row],[State]]*10</f>
        <v>10</v>
      </c>
      <c r="J11" s="1">
        <v>1</v>
      </c>
      <c r="K11">
        <v>0</v>
      </c>
      <c r="L11" s="3">
        <f t="shared" si="0"/>
        <v>87.967760506620607</v>
      </c>
    </row>
    <row r="12" spans="1:26" x14ac:dyDescent="0.25">
      <c r="A12" s="7">
        <v>11</v>
      </c>
      <c r="B12">
        <v>17.739999999999998</v>
      </c>
      <c r="C12" s="2">
        <f>Table1[[#This Row],[Ppv(W)]]/Table1[[#This Row],[Vpv(V)]]</f>
        <v>8.186583990980834</v>
      </c>
      <c r="D12">
        <v>145.22999999999999</v>
      </c>
      <c r="E12">
        <v>39.96</v>
      </c>
      <c r="F12">
        <v>3.09</v>
      </c>
      <c r="G12">
        <v>123.61</v>
      </c>
      <c r="H12" s="6">
        <v>57.05</v>
      </c>
      <c r="I12" s="6">
        <f>Table1[[#This Row],[State]]*10</f>
        <v>10</v>
      </c>
      <c r="J12" s="1">
        <v>1</v>
      </c>
      <c r="K12">
        <v>0</v>
      </c>
      <c r="L12" s="3">
        <f t="shared" si="0"/>
        <v>85.113268608414245</v>
      </c>
    </row>
    <row r="13" spans="1:26" x14ac:dyDescent="0.25">
      <c r="A13" s="7">
        <v>12</v>
      </c>
      <c r="B13">
        <v>17.61</v>
      </c>
      <c r="C13" s="2">
        <f>Table1[[#This Row],[Ppv(W)]]/Table1[[#This Row],[Vpv(V)]]</f>
        <v>8.4997160704145376</v>
      </c>
      <c r="D13">
        <v>149.68</v>
      </c>
      <c r="E13">
        <v>39.96</v>
      </c>
      <c r="F13">
        <v>3.12</v>
      </c>
      <c r="G13">
        <v>124.67</v>
      </c>
      <c r="H13" s="6">
        <v>58.62</v>
      </c>
      <c r="I13" s="6">
        <f>Table1[[#This Row],[State]]*10</f>
        <v>10</v>
      </c>
      <c r="J13" s="1">
        <v>1</v>
      </c>
      <c r="K13">
        <v>0</v>
      </c>
      <c r="L13" s="3">
        <f t="shared" si="0"/>
        <v>83.291020844468193</v>
      </c>
    </row>
    <row r="14" spans="1:26" x14ac:dyDescent="0.25">
      <c r="A14" s="7">
        <v>13</v>
      </c>
      <c r="B14">
        <v>17.48</v>
      </c>
      <c r="C14" s="2">
        <f>Table1[[#This Row],[Ppv(W)]]/Table1[[#This Row],[Vpv(V)]]</f>
        <v>8.8260869565217384</v>
      </c>
      <c r="D14">
        <v>154.28</v>
      </c>
      <c r="E14">
        <v>39.96</v>
      </c>
      <c r="F14">
        <v>3.15</v>
      </c>
      <c r="G14">
        <v>125.83</v>
      </c>
      <c r="H14" s="6">
        <v>59.87</v>
      </c>
      <c r="I14" s="6">
        <f>Table1[[#This Row],[State]]*10</f>
        <v>10</v>
      </c>
      <c r="J14" s="1">
        <v>1</v>
      </c>
      <c r="K14">
        <v>0</v>
      </c>
      <c r="L14" s="3">
        <f t="shared" si="0"/>
        <v>81.559502203785328</v>
      </c>
    </row>
    <row r="15" spans="1:26" x14ac:dyDescent="0.25">
      <c r="A15" s="7">
        <v>14</v>
      </c>
      <c r="B15">
        <v>17.37</v>
      </c>
      <c r="C15" s="2">
        <f>Table1[[#This Row],[Ppv(W)]]/Table1[[#This Row],[Vpv(V)]]</f>
        <v>9.0420264824409902</v>
      </c>
      <c r="D15">
        <v>157.06</v>
      </c>
      <c r="E15">
        <v>39.96</v>
      </c>
      <c r="F15">
        <v>3.17</v>
      </c>
      <c r="G15">
        <v>126.67</v>
      </c>
      <c r="H15" s="6">
        <v>59.87</v>
      </c>
      <c r="I15" s="6">
        <f>Table1[[#This Row],[State]]*10</f>
        <v>10</v>
      </c>
      <c r="J15" s="1">
        <v>1</v>
      </c>
      <c r="K15">
        <v>0</v>
      </c>
      <c r="L15" s="3">
        <f t="shared" si="0"/>
        <v>80.650706736279133</v>
      </c>
    </row>
    <row r="16" spans="1:26" x14ac:dyDescent="0.25">
      <c r="A16" s="7">
        <v>15</v>
      </c>
      <c r="B16">
        <v>17.37</v>
      </c>
      <c r="C16" s="2">
        <f>Table1[[#This Row],[Ppv(W)]]/Table1[[#This Row],[Vpv(V)]]</f>
        <v>9.1439263097294194</v>
      </c>
      <c r="D16">
        <v>158.83000000000001</v>
      </c>
      <c r="E16">
        <v>39.96</v>
      </c>
      <c r="F16">
        <v>3.18</v>
      </c>
      <c r="G16">
        <v>127.09</v>
      </c>
      <c r="H16" s="6">
        <v>58.31</v>
      </c>
      <c r="I16" s="6">
        <f>Table1[[#This Row],[State]]*10</f>
        <v>10</v>
      </c>
      <c r="J16" s="1">
        <v>1</v>
      </c>
      <c r="K16">
        <v>0</v>
      </c>
      <c r="L16" s="3">
        <f t="shared" si="0"/>
        <v>80.016369703456519</v>
      </c>
    </row>
    <row r="17" spans="1:12" x14ac:dyDescent="0.25">
      <c r="A17" s="7">
        <v>16</v>
      </c>
      <c r="B17">
        <v>17.39</v>
      </c>
      <c r="C17" s="2">
        <f>Table1[[#This Row],[Ppv(W)]]/Table1[[#This Row],[Vpv(V)]]</f>
        <v>9.092581943645774</v>
      </c>
      <c r="D17">
        <v>158.12</v>
      </c>
      <c r="E17">
        <v>39.96</v>
      </c>
      <c r="F17">
        <v>3.19</v>
      </c>
      <c r="G17">
        <v>127.3</v>
      </c>
      <c r="H17" s="6">
        <v>56.74</v>
      </c>
      <c r="I17" s="6">
        <f>Table1[[#This Row],[State]]*10</f>
        <v>20</v>
      </c>
      <c r="J17" s="1">
        <v>2</v>
      </c>
      <c r="K17">
        <v>0</v>
      </c>
      <c r="L17" s="3">
        <f t="shared" si="0"/>
        <v>80.508474576271183</v>
      </c>
    </row>
    <row r="18" spans="1:12" x14ac:dyDescent="0.25">
      <c r="A18" s="7">
        <v>17</v>
      </c>
      <c r="B18">
        <v>17.399999999999999</v>
      </c>
      <c r="C18" s="2">
        <f>Table1[[#This Row],[Ppv(W)]]/Table1[[#This Row],[Vpv(V)]]</f>
        <v>9.0316091954023001</v>
      </c>
      <c r="D18">
        <v>157.15</v>
      </c>
      <c r="E18">
        <v>39.96</v>
      </c>
      <c r="F18">
        <v>3.19</v>
      </c>
      <c r="G18">
        <v>127.3</v>
      </c>
      <c r="H18" s="6">
        <v>55.17</v>
      </c>
      <c r="I18" s="6">
        <f>Table1[[#This Row],[State]]*10</f>
        <v>20</v>
      </c>
      <c r="J18" s="1">
        <v>2</v>
      </c>
      <c r="K18">
        <v>0</v>
      </c>
      <c r="L18" s="3">
        <f t="shared" si="0"/>
        <v>81.0054088450525</v>
      </c>
    </row>
    <row r="19" spans="1:12" x14ac:dyDescent="0.25">
      <c r="A19" s="7">
        <v>18</v>
      </c>
      <c r="B19">
        <v>17.489999999999998</v>
      </c>
      <c r="C19" s="2">
        <f>Table1[[#This Row],[Ppv(W)]]/Table1[[#This Row],[Vpv(V)]]</f>
        <v>8.845626072041167</v>
      </c>
      <c r="D19">
        <v>154.71</v>
      </c>
      <c r="E19">
        <v>39.96</v>
      </c>
      <c r="F19">
        <v>3.16</v>
      </c>
      <c r="G19">
        <v>126.46</v>
      </c>
      <c r="H19" s="6">
        <v>56.74</v>
      </c>
      <c r="I19" s="6">
        <f>Table1[[#This Row],[State]]*10</f>
        <v>20</v>
      </c>
      <c r="J19" s="1">
        <v>2</v>
      </c>
      <c r="K19">
        <v>0</v>
      </c>
      <c r="L19" s="3">
        <f t="shared" si="0"/>
        <v>81.740029733048928</v>
      </c>
    </row>
    <row r="20" spans="1:12" x14ac:dyDescent="0.25">
      <c r="A20" s="7">
        <v>19</v>
      </c>
      <c r="B20">
        <v>17.46</v>
      </c>
      <c r="C20" s="2">
        <f>Table1[[#This Row],[Ppv(W)]]/Table1[[#This Row],[Vpv(V)]]</f>
        <v>8.7892325315005735</v>
      </c>
      <c r="D20">
        <v>153.46</v>
      </c>
      <c r="E20">
        <v>39.96</v>
      </c>
      <c r="F20">
        <v>3.16</v>
      </c>
      <c r="G20">
        <v>126.14</v>
      </c>
      <c r="H20" s="6">
        <v>58.31</v>
      </c>
      <c r="I20" s="6">
        <f>Table1[[#This Row],[State]]*10</f>
        <v>20</v>
      </c>
      <c r="J20" s="1">
        <v>2</v>
      </c>
      <c r="K20">
        <v>0</v>
      </c>
      <c r="L20" s="3">
        <f t="shared" si="0"/>
        <v>82.197315261305874</v>
      </c>
    </row>
    <row r="21" spans="1:12" x14ac:dyDescent="0.25">
      <c r="A21" s="7">
        <v>20</v>
      </c>
      <c r="B21">
        <v>17.420000000000002</v>
      </c>
      <c r="C21" s="2">
        <f>Table1[[#This Row],[Ppv(W)]]/Table1[[#This Row],[Vpv(V)]]</f>
        <v>8.7474167623421337</v>
      </c>
      <c r="D21">
        <v>152.38</v>
      </c>
      <c r="E21">
        <v>39.96</v>
      </c>
      <c r="F21">
        <v>3.15</v>
      </c>
      <c r="G21">
        <v>126.04</v>
      </c>
      <c r="H21" s="6">
        <v>59.87</v>
      </c>
      <c r="I21" s="6">
        <f>Table1[[#This Row],[State]]*10</f>
        <v>20</v>
      </c>
      <c r="J21" s="1">
        <v>2</v>
      </c>
      <c r="K21">
        <v>0</v>
      </c>
      <c r="L21" s="3">
        <f t="shared" si="0"/>
        <v>82.71426696416853</v>
      </c>
    </row>
    <row r="22" spans="1:12" x14ac:dyDescent="0.25">
      <c r="A22" s="7">
        <v>21</v>
      </c>
      <c r="B22">
        <v>17.41</v>
      </c>
      <c r="C22" s="2">
        <f>Table1[[#This Row],[Ppv(W)]]/Table1[[#This Row],[Vpv(V)]]</f>
        <v>8.9385410683515225</v>
      </c>
      <c r="D22">
        <v>155.62</v>
      </c>
      <c r="E22">
        <v>39.96</v>
      </c>
      <c r="F22">
        <v>3.16</v>
      </c>
      <c r="G22">
        <v>126.25</v>
      </c>
      <c r="H22" s="6">
        <v>59.87</v>
      </c>
      <c r="I22" s="6">
        <f>Table1[[#This Row],[State]]*10</f>
        <v>10</v>
      </c>
      <c r="J22" s="1">
        <v>1</v>
      </c>
      <c r="K22">
        <v>0</v>
      </c>
      <c r="L22" s="3">
        <f t="shared" si="0"/>
        <v>81.127104485284661</v>
      </c>
    </row>
    <row r="23" spans="1:12" x14ac:dyDescent="0.25">
      <c r="A23" s="7">
        <v>22</v>
      </c>
      <c r="B23">
        <v>17.32</v>
      </c>
      <c r="C23" s="2">
        <f>Table1[[#This Row],[Ppv(W)]]/Table1[[#This Row],[Vpv(V)]]</f>
        <v>9.0993071593533479</v>
      </c>
      <c r="D23">
        <v>157.6</v>
      </c>
      <c r="E23">
        <v>39.96</v>
      </c>
      <c r="F23">
        <v>3.17</v>
      </c>
      <c r="G23">
        <v>126.78</v>
      </c>
      <c r="H23" s="6">
        <v>59.87</v>
      </c>
      <c r="I23" s="6">
        <f>Table1[[#This Row],[State]]*10</f>
        <v>10</v>
      </c>
      <c r="J23" s="1">
        <v>1</v>
      </c>
      <c r="K23">
        <v>0</v>
      </c>
      <c r="L23" s="3">
        <f t="shared" si="0"/>
        <v>80.444162436548226</v>
      </c>
    </row>
    <row r="24" spans="1:12" x14ac:dyDescent="0.25">
      <c r="A24" s="7">
        <v>23</v>
      </c>
      <c r="B24">
        <v>17.32</v>
      </c>
      <c r="C24" s="2">
        <f>Table1[[#This Row],[Ppv(W)]]/Table1[[#This Row],[Vpv(V)]]</f>
        <v>9.2580831408775985</v>
      </c>
      <c r="D24">
        <v>160.35</v>
      </c>
      <c r="E24">
        <v>39.96</v>
      </c>
      <c r="F24">
        <v>3.19</v>
      </c>
      <c r="G24">
        <v>127.41</v>
      </c>
      <c r="H24" s="6">
        <v>58.31</v>
      </c>
      <c r="I24" s="6">
        <f>Table1[[#This Row],[State]]*10</f>
        <v>10</v>
      </c>
      <c r="J24" s="1">
        <v>1</v>
      </c>
      <c r="K24">
        <v>0</v>
      </c>
      <c r="L24" s="3">
        <f t="shared" si="0"/>
        <v>79.457436856875589</v>
      </c>
    </row>
    <row r="25" spans="1:12" x14ac:dyDescent="0.25">
      <c r="A25" s="7">
        <v>24</v>
      </c>
      <c r="B25">
        <v>17.36</v>
      </c>
      <c r="C25" s="2">
        <f>Table1[[#This Row],[Ppv(W)]]/Table1[[#This Row],[Vpv(V)]]</f>
        <v>9.2793778801843327</v>
      </c>
      <c r="D25">
        <v>161.09</v>
      </c>
      <c r="E25">
        <v>39.96</v>
      </c>
      <c r="F25">
        <v>3.19</v>
      </c>
      <c r="G25">
        <v>127.51</v>
      </c>
      <c r="H25" s="6">
        <v>56.74</v>
      </c>
      <c r="I25" s="6">
        <f>Table1[[#This Row],[State]]*10</f>
        <v>10</v>
      </c>
      <c r="J25" s="1">
        <v>1</v>
      </c>
      <c r="K25">
        <v>0</v>
      </c>
      <c r="L25" s="3">
        <f t="shared" si="0"/>
        <v>79.154509901297416</v>
      </c>
    </row>
    <row r="26" spans="1:12" x14ac:dyDescent="0.25">
      <c r="A26" s="7">
        <v>25</v>
      </c>
      <c r="B26">
        <v>17.399999999999999</v>
      </c>
      <c r="C26" s="2">
        <f>Table1[[#This Row],[Ppv(W)]]/Table1[[#This Row],[Vpv(V)]]</f>
        <v>9.1068965517241391</v>
      </c>
      <c r="D26">
        <v>158.46</v>
      </c>
      <c r="E26">
        <v>39.96</v>
      </c>
      <c r="F26">
        <v>3.18</v>
      </c>
      <c r="G26">
        <v>127.09</v>
      </c>
      <c r="H26" s="6">
        <v>55.17</v>
      </c>
      <c r="I26" s="6">
        <f>Table1[[#This Row],[State]]*10</f>
        <v>20</v>
      </c>
      <c r="J26" s="1">
        <v>2</v>
      </c>
      <c r="K26">
        <v>0</v>
      </c>
      <c r="L26" s="3">
        <f t="shared" si="0"/>
        <v>80.203205856367532</v>
      </c>
    </row>
    <row r="27" spans="1:12" x14ac:dyDescent="0.25">
      <c r="A27" s="7">
        <v>26</v>
      </c>
      <c r="B27">
        <v>17.45</v>
      </c>
      <c r="C27" s="2">
        <f>Table1[[#This Row],[Ppv(W)]]/Table1[[#This Row],[Vpv(V)]]</f>
        <v>8.988538681948425</v>
      </c>
      <c r="D27">
        <v>156.85</v>
      </c>
      <c r="E27">
        <v>39.96</v>
      </c>
      <c r="F27">
        <v>3.17</v>
      </c>
      <c r="G27">
        <v>126.78</v>
      </c>
      <c r="H27" s="6">
        <v>53.61</v>
      </c>
      <c r="I27" s="6">
        <f>Table1[[#This Row],[State]]*10</f>
        <v>20</v>
      </c>
      <c r="J27" s="1">
        <v>2</v>
      </c>
      <c r="K27">
        <v>0</v>
      </c>
      <c r="L27" s="3">
        <f t="shared" si="0"/>
        <v>80.828817341408993</v>
      </c>
    </row>
    <row r="28" spans="1:12" x14ac:dyDescent="0.25">
      <c r="A28" s="7">
        <v>27</v>
      </c>
      <c r="B28">
        <v>17.55</v>
      </c>
      <c r="C28" s="2">
        <f>Table1[[#This Row],[Ppv(W)]]/Table1[[#This Row],[Vpv(V)]]</f>
        <v>8.6512820512820525</v>
      </c>
      <c r="D28">
        <v>151.83000000000001</v>
      </c>
      <c r="E28">
        <v>39.96</v>
      </c>
      <c r="F28">
        <v>3.14</v>
      </c>
      <c r="G28">
        <v>125.62</v>
      </c>
      <c r="H28" s="6">
        <v>55.17</v>
      </c>
      <c r="I28" s="6">
        <f>Table1[[#This Row],[State]]*10</f>
        <v>20</v>
      </c>
      <c r="J28" s="1">
        <v>2</v>
      </c>
      <c r="K28">
        <v>0</v>
      </c>
      <c r="L28" s="3">
        <f t="shared" si="0"/>
        <v>82.737271948890196</v>
      </c>
    </row>
    <row r="29" spans="1:12" x14ac:dyDescent="0.25">
      <c r="A29" s="7">
        <v>28</v>
      </c>
      <c r="B29">
        <v>17.62</v>
      </c>
      <c r="C29" s="2">
        <f>Table1[[#This Row],[Ppv(W)]]/Table1[[#This Row],[Vpv(V)]]</f>
        <v>8.5720771850170259</v>
      </c>
      <c r="D29">
        <v>151.04</v>
      </c>
      <c r="E29">
        <v>39.96</v>
      </c>
      <c r="F29">
        <v>3.13</v>
      </c>
      <c r="G29">
        <v>125.19</v>
      </c>
      <c r="H29" s="6">
        <v>56.74</v>
      </c>
      <c r="I29" s="6">
        <f>Table1[[#This Row],[State]]*10</f>
        <v>20</v>
      </c>
      <c r="J29" s="1">
        <v>2</v>
      </c>
      <c r="K29">
        <v>0</v>
      </c>
      <c r="L29" s="3">
        <f t="shared" si="0"/>
        <v>82.885328389830519</v>
      </c>
    </row>
    <row r="30" spans="1:12" x14ac:dyDescent="0.25">
      <c r="A30" s="7">
        <v>29</v>
      </c>
      <c r="B30">
        <v>17.64</v>
      </c>
      <c r="C30" s="2">
        <f>Table1[[#This Row],[Ppv(W)]]/Table1[[#This Row],[Vpv(V)]]</f>
        <v>8.5</v>
      </c>
      <c r="D30">
        <v>149.94</v>
      </c>
      <c r="E30">
        <v>39.96</v>
      </c>
      <c r="F30">
        <v>3.13</v>
      </c>
      <c r="G30">
        <v>125.09</v>
      </c>
      <c r="H30" s="6">
        <v>58.31</v>
      </c>
      <c r="I30" s="6">
        <f>Table1[[#This Row],[State]]*10</f>
        <v>20</v>
      </c>
      <c r="J30" s="1">
        <v>2</v>
      </c>
      <c r="K30">
        <v>0</v>
      </c>
      <c r="L30" s="3">
        <f t="shared" si="0"/>
        <v>83.426704014939318</v>
      </c>
    </row>
    <row r="31" spans="1:12" x14ac:dyDescent="0.25">
      <c r="A31" s="7">
        <v>30</v>
      </c>
      <c r="B31">
        <v>17.57</v>
      </c>
      <c r="C31" s="2">
        <f>Table1[[#This Row],[Ppv(W)]]/Table1[[#This Row],[Vpv(V)]]</f>
        <v>8.6323278315310183</v>
      </c>
      <c r="D31">
        <v>151.66999999999999</v>
      </c>
      <c r="E31">
        <v>39.96</v>
      </c>
      <c r="F31">
        <v>3.14</v>
      </c>
      <c r="G31">
        <v>125.62</v>
      </c>
      <c r="H31" s="6">
        <v>59.87</v>
      </c>
      <c r="I31" s="6">
        <f>Table1[[#This Row],[State]]*10</f>
        <v>10</v>
      </c>
      <c r="J31" s="1">
        <v>1</v>
      </c>
      <c r="K31">
        <v>0</v>
      </c>
      <c r="L31" s="3">
        <f t="shared" si="0"/>
        <v>82.824553306520741</v>
      </c>
    </row>
    <row r="32" spans="1:12" x14ac:dyDescent="0.25">
      <c r="A32" s="7">
        <v>31</v>
      </c>
      <c r="B32">
        <v>17.47</v>
      </c>
      <c r="C32" s="2">
        <f>Table1[[#This Row],[Ppv(W)]]/Table1[[#This Row],[Vpv(V)]]</f>
        <v>8.946193474527762</v>
      </c>
      <c r="D32">
        <v>156.29</v>
      </c>
      <c r="E32">
        <v>39.96</v>
      </c>
      <c r="F32">
        <v>3.16</v>
      </c>
      <c r="G32">
        <v>126.35</v>
      </c>
      <c r="H32" s="6">
        <v>59.87</v>
      </c>
      <c r="I32" s="6">
        <f>Table1[[#This Row],[State]]*10</f>
        <v>10</v>
      </c>
      <c r="J32" s="1">
        <v>1</v>
      </c>
      <c r="K32">
        <v>0</v>
      </c>
      <c r="L32" s="3">
        <f t="shared" si="0"/>
        <v>80.843304114146775</v>
      </c>
    </row>
    <row r="33" spans="1:12" x14ac:dyDescent="0.25">
      <c r="A33" s="7">
        <v>32</v>
      </c>
      <c r="B33">
        <v>17.34</v>
      </c>
      <c r="C33" s="2">
        <f>Table1[[#This Row],[Ppv(W)]]/Table1[[#This Row],[Vpv(V)]]</f>
        <v>9.2116493656286043</v>
      </c>
      <c r="D33">
        <v>159.72999999999999</v>
      </c>
      <c r="E33">
        <v>39.96</v>
      </c>
      <c r="F33">
        <v>3.18</v>
      </c>
      <c r="G33">
        <v>126.99</v>
      </c>
      <c r="H33" s="6">
        <v>59.87</v>
      </c>
      <c r="I33" s="6">
        <f>Table1[[#This Row],[State]]*10</f>
        <v>10</v>
      </c>
      <c r="J33" s="1">
        <v>1</v>
      </c>
      <c r="K33">
        <v>0</v>
      </c>
      <c r="L33" s="3">
        <f t="shared" si="0"/>
        <v>79.502911162586869</v>
      </c>
    </row>
    <row r="34" spans="1:12" x14ac:dyDescent="0.25">
      <c r="A34" s="7">
        <v>33</v>
      </c>
      <c r="B34">
        <v>17.28</v>
      </c>
      <c r="C34" s="2">
        <f>Table1[[#This Row],[Ppv(W)]]/Table1[[#This Row],[Vpv(V)]]</f>
        <v>9.403356481481481</v>
      </c>
      <c r="D34">
        <v>162.49</v>
      </c>
      <c r="E34">
        <v>39.96</v>
      </c>
      <c r="F34">
        <v>3.19</v>
      </c>
      <c r="G34">
        <v>127.41</v>
      </c>
      <c r="H34" s="6">
        <v>59.87</v>
      </c>
      <c r="I34" s="6">
        <f>Table1[[#This Row],[State]]*10</f>
        <v>10</v>
      </c>
      <c r="J34" s="1">
        <v>1</v>
      </c>
      <c r="K34">
        <v>0</v>
      </c>
      <c r="L34" s="3">
        <f t="shared" si="0"/>
        <v>78.410979137177662</v>
      </c>
    </row>
    <row r="35" spans="1:12" x14ac:dyDescent="0.25">
      <c r="A35" s="7">
        <v>34</v>
      </c>
      <c r="B35">
        <v>17.21</v>
      </c>
      <c r="C35" s="2">
        <f>Table1[[#This Row],[Ppv(W)]]/Table1[[#This Row],[Vpv(V)]]</f>
        <v>9.5363160952934347</v>
      </c>
      <c r="D35">
        <v>164.12</v>
      </c>
      <c r="E35">
        <v>39.96</v>
      </c>
      <c r="F35">
        <v>3.19</v>
      </c>
      <c r="G35">
        <v>127.62</v>
      </c>
      <c r="H35" s="6">
        <v>59.87</v>
      </c>
      <c r="I35" s="6">
        <f>Table1[[#This Row],[State]]*10</f>
        <v>10</v>
      </c>
      <c r="J35" s="1">
        <v>1</v>
      </c>
      <c r="K35">
        <v>0</v>
      </c>
      <c r="L35" s="3">
        <f t="shared" si="0"/>
        <v>77.760175481355105</v>
      </c>
    </row>
    <row r="36" spans="1:12" x14ac:dyDescent="0.25">
      <c r="A36" s="7">
        <v>35</v>
      </c>
      <c r="B36">
        <v>17.25</v>
      </c>
      <c r="C36" s="2">
        <f>Table1[[#This Row],[Ppv(W)]]/Table1[[#This Row],[Vpv(V)]]</f>
        <v>9.4562318840579707</v>
      </c>
      <c r="D36">
        <v>163.12</v>
      </c>
      <c r="E36">
        <v>39.96</v>
      </c>
      <c r="F36">
        <v>3.19</v>
      </c>
      <c r="G36">
        <v>127.62</v>
      </c>
      <c r="H36" s="6">
        <v>58.31</v>
      </c>
      <c r="I36" s="6">
        <f>Table1[[#This Row],[State]]*10</f>
        <v>20</v>
      </c>
      <c r="J36" s="1">
        <v>2</v>
      </c>
      <c r="K36">
        <v>0</v>
      </c>
      <c r="L36" s="3">
        <f t="shared" si="0"/>
        <v>78.236880823933291</v>
      </c>
    </row>
    <row r="37" spans="1:12" x14ac:dyDescent="0.25">
      <c r="A37" s="7">
        <v>36</v>
      </c>
      <c r="B37">
        <v>17.29</v>
      </c>
      <c r="C37" s="2">
        <f>Table1[[#This Row],[Ppv(W)]]/Table1[[#This Row],[Vpv(V)]]</f>
        <v>9.3076923076923084</v>
      </c>
      <c r="D37">
        <v>160.93</v>
      </c>
      <c r="E37">
        <v>39.96</v>
      </c>
      <c r="F37">
        <v>3.19</v>
      </c>
      <c r="G37">
        <v>127.51</v>
      </c>
      <c r="H37" s="6">
        <v>56.74</v>
      </c>
      <c r="I37" s="6">
        <f>Table1[[#This Row],[State]]*10</f>
        <v>20</v>
      </c>
      <c r="J37" s="1">
        <v>2</v>
      </c>
      <c r="K37">
        <v>0</v>
      </c>
      <c r="L37" s="3">
        <f t="shared" si="0"/>
        <v>79.233206984403154</v>
      </c>
    </row>
    <row r="38" spans="1:12" x14ac:dyDescent="0.25">
      <c r="A38" s="7">
        <v>37</v>
      </c>
      <c r="B38">
        <v>17.32</v>
      </c>
      <c r="C38" s="2">
        <f>Table1[[#This Row],[Ppv(W)]]/Table1[[#This Row],[Vpv(V)]]</f>
        <v>9.068706697459584</v>
      </c>
      <c r="D38">
        <v>157.07</v>
      </c>
      <c r="E38">
        <v>39.96</v>
      </c>
      <c r="F38">
        <v>3.18</v>
      </c>
      <c r="G38">
        <v>127.09</v>
      </c>
      <c r="H38" s="6">
        <v>55.17</v>
      </c>
      <c r="I38" s="6">
        <f>Table1[[#This Row],[State]]*10</f>
        <v>20</v>
      </c>
      <c r="J38" s="1">
        <v>2</v>
      </c>
      <c r="K38">
        <v>0</v>
      </c>
      <c r="L38" s="3">
        <f t="shared" si="0"/>
        <v>80.912968740052222</v>
      </c>
    </row>
    <row r="39" spans="1:12" x14ac:dyDescent="0.25">
      <c r="A39" s="7">
        <v>38</v>
      </c>
      <c r="B39">
        <v>17.46</v>
      </c>
      <c r="C39" s="2">
        <f>Table1[[#This Row],[Ppv(W)]]/Table1[[#This Row],[Vpv(V)]]</f>
        <v>8.8150057273768603</v>
      </c>
      <c r="D39">
        <v>153.91</v>
      </c>
      <c r="E39">
        <v>39.96</v>
      </c>
      <c r="F39">
        <v>3.17</v>
      </c>
      <c r="G39">
        <v>126.57</v>
      </c>
      <c r="H39" s="6">
        <v>56.74</v>
      </c>
      <c r="I39" s="6">
        <f>Table1[[#This Row],[State]]*10</f>
        <v>20</v>
      </c>
      <c r="J39" s="1">
        <v>2</v>
      </c>
      <c r="K39">
        <v>0</v>
      </c>
      <c r="L39" s="3">
        <f t="shared" si="0"/>
        <v>82.236371905659141</v>
      </c>
    </row>
    <row r="40" spans="1:12" x14ac:dyDescent="0.25">
      <c r="A40" s="7">
        <v>39</v>
      </c>
      <c r="B40">
        <v>17.5</v>
      </c>
      <c r="C40" s="2">
        <f>Table1[[#This Row],[Ppv(W)]]/Table1[[#This Row],[Vpv(V)]]</f>
        <v>8.6788571428571419</v>
      </c>
      <c r="D40">
        <v>151.88</v>
      </c>
      <c r="E40">
        <v>39.96</v>
      </c>
      <c r="F40">
        <v>3.15</v>
      </c>
      <c r="G40">
        <v>125.93</v>
      </c>
      <c r="H40" s="6">
        <v>58.31</v>
      </c>
      <c r="I40" s="6">
        <f>Table1[[#This Row],[State]]*10</f>
        <v>20</v>
      </c>
      <c r="J40" s="1">
        <v>2</v>
      </c>
      <c r="K40">
        <v>0</v>
      </c>
      <c r="L40" s="3">
        <f t="shared" si="0"/>
        <v>82.9141427442718</v>
      </c>
    </row>
    <row r="41" spans="1:12" x14ac:dyDescent="0.25">
      <c r="A41" s="7">
        <v>40</v>
      </c>
      <c r="B41">
        <v>17.510000000000002</v>
      </c>
      <c r="C41" s="2">
        <f>Table1[[#This Row],[Ppv(W)]]/Table1[[#This Row],[Vpv(V)]]</f>
        <v>8.7133066818960589</v>
      </c>
      <c r="D41">
        <v>152.57</v>
      </c>
      <c r="E41">
        <v>39.96</v>
      </c>
      <c r="F41">
        <v>3.15</v>
      </c>
      <c r="G41">
        <v>125.83</v>
      </c>
      <c r="H41" s="6">
        <v>59.87</v>
      </c>
      <c r="I41" s="6">
        <f>Table1[[#This Row],[State]]*10</f>
        <v>10</v>
      </c>
      <c r="J41" s="1">
        <v>1</v>
      </c>
      <c r="K41">
        <v>0</v>
      </c>
      <c r="L41" s="3">
        <f t="shared" si="0"/>
        <v>82.473618666841446</v>
      </c>
    </row>
    <row r="42" spans="1:12" x14ac:dyDescent="0.25">
      <c r="A42" s="7">
        <v>41</v>
      </c>
      <c r="B42">
        <v>17.45</v>
      </c>
      <c r="C42" s="2">
        <f>Table1[[#This Row],[Ppv(W)]]/Table1[[#This Row],[Vpv(V)]]</f>
        <v>8.9432664756447</v>
      </c>
      <c r="D42">
        <v>156.06</v>
      </c>
      <c r="E42">
        <v>39.96</v>
      </c>
      <c r="F42">
        <v>3.16</v>
      </c>
      <c r="G42">
        <v>126.25</v>
      </c>
      <c r="H42" s="6">
        <v>59.87</v>
      </c>
      <c r="I42" s="6">
        <f>Table1[[#This Row],[State]]*10</f>
        <v>10</v>
      </c>
      <c r="J42" s="1">
        <v>1</v>
      </c>
      <c r="K42">
        <v>0</v>
      </c>
      <c r="L42" s="3">
        <f t="shared" si="0"/>
        <v>80.89837242086378</v>
      </c>
    </row>
    <row r="43" spans="1:12" x14ac:dyDescent="0.25">
      <c r="A43" s="7">
        <v>42</v>
      </c>
      <c r="B43">
        <v>17.350000000000001</v>
      </c>
      <c r="C43" s="2">
        <f>Table1[[#This Row],[Ppv(W)]]/Table1[[#This Row],[Vpv(V)]]</f>
        <v>9.185590778097982</v>
      </c>
      <c r="D43">
        <v>159.37</v>
      </c>
      <c r="E43">
        <v>39.96</v>
      </c>
      <c r="F43">
        <v>3.17</v>
      </c>
      <c r="G43">
        <v>126.78</v>
      </c>
      <c r="H43" s="6">
        <v>59.87</v>
      </c>
      <c r="I43" s="6">
        <f>Table1[[#This Row],[State]]*10</f>
        <v>10</v>
      </c>
      <c r="J43" s="1">
        <v>1</v>
      </c>
      <c r="K43">
        <v>0</v>
      </c>
      <c r="L43" s="3">
        <f t="shared" si="0"/>
        <v>79.550731003325595</v>
      </c>
    </row>
    <row r="44" spans="1:12" x14ac:dyDescent="0.25">
      <c r="A44" s="7">
        <v>43</v>
      </c>
      <c r="B44">
        <v>17.29</v>
      </c>
      <c r="C44" s="2">
        <f>Table1[[#This Row],[Ppv(W)]]/Table1[[#This Row],[Vpv(V)]]</f>
        <v>9.2978600347021398</v>
      </c>
      <c r="D44">
        <v>160.76</v>
      </c>
      <c r="E44">
        <v>39.96</v>
      </c>
      <c r="F44">
        <v>3.18</v>
      </c>
      <c r="G44">
        <v>127.2</v>
      </c>
      <c r="H44" s="6">
        <v>59.87</v>
      </c>
      <c r="I44" s="6">
        <f>Table1[[#This Row],[State]]*10</f>
        <v>10</v>
      </c>
      <c r="J44" s="1">
        <v>1</v>
      </c>
      <c r="K44">
        <v>0</v>
      </c>
      <c r="L44" s="3">
        <f t="shared" si="0"/>
        <v>79.124160238865386</v>
      </c>
    </row>
    <row r="45" spans="1:12" x14ac:dyDescent="0.25">
      <c r="A45" s="7">
        <v>44</v>
      </c>
      <c r="B45">
        <v>17.3</v>
      </c>
      <c r="C45" s="2">
        <f>Table1[[#This Row],[Ppv(W)]]/Table1[[#This Row],[Vpv(V)]]</f>
        <v>9.320231213872832</v>
      </c>
      <c r="D45">
        <v>161.24</v>
      </c>
      <c r="E45">
        <v>39.96</v>
      </c>
      <c r="F45">
        <v>3.19</v>
      </c>
      <c r="G45">
        <v>127.62</v>
      </c>
      <c r="H45" s="6">
        <v>58.31</v>
      </c>
      <c r="I45" s="6">
        <f>Table1[[#This Row],[State]]*10</f>
        <v>0</v>
      </c>
      <c r="J45" s="1">
        <v>0</v>
      </c>
      <c r="K45">
        <v>191</v>
      </c>
      <c r="L45" s="3">
        <f t="shared" si="0"/>
        <v>79.149094517489459</v>
      </c>
    </row>
    <row r="46" spans="1:12" x14ac:dyDescent="0.25">
      <c r="A46" s="7">
        <v>45</v>
      </c>
      <c r="B46">
        <v>17.309999999999999</v>
      </c>
      <c r="C46" s="2">
        <f>Table1[[#This Row],[Ppv(W)]]/Table1[[#This Row],[Vpv(V)]]</f>
        <v>9.2628538417099957</v>
      </c>
      <c r="D46">
        <v>160.34</v>
      </c>
      <c r="E46">
        <v>39.96</v>
      </c>
      <c r="F46">
        <v>3.19</v>
      </c>
      <c r="G46">
        <v>127.41</v>
      </c>
      <c r="H46" s="6">
        <v>56.74</v>
      </c>
      <c r="I46" s="6">
        <f>Table1[[#This Row],[State]]*10</f>
        <v>20</v>
      </c>
      <c r="J46" s="1">
        <v>2</v>
      </c>
      <c r="K46">
        <v>191</v>
      </c>
      <c r="L46" s="3">
        <f t="shared" si="0"/>
        <v>79.462392416115748</v>
      </c>
    </row>
    <row r="47" spans="1:12" x14ac:dyDescent="0.25">
      <c r="A47" s="7">
        <v>46</v>
      </c>
      <c r="B47">
        <v>17.41</v>
      </c>
      <c r="C47" s="2">
        <f>Table1[[#This Row],[Ppv(W)]]/Table1[[#This Row],[Vpv(V)]]</f>
        <v>9.0459506031016659</v>
      </c>
      <c r="D47">
        <v>157.49</v>
      </c>
      <c r="E47">
        <v>39.96</v>
      </c>
      <c r="F47">
        <v>3.18</v>
      </c>
      <c r="G47">
        <v>126.88</v>
      </c>
      <c r="H47" s="6">
        <v>58.31</v>
      </c>
      <c r="I47" s="6">
        <f>Table1[[#This Row],[State]]*10</f>
        <v>20</v>
      </c>
      <c r="J47" s="1">
        <v>2</v>
      </c>
      <c r="K47">
        <v>191</v>
      </c>
      <c r="L47" s="3">
        <f t="shared" si="0"/>
        <v>80.563845323512595</v>
      </c>
    </row>
    <row r="48" spans="1:12" x14ac:dyDescent="0.25">
      <c r="A48" s="7">
        <v>47</v>
      </c>
      <c r="B48">
        <v>17.399999999999999</v>
      </c>
      <c r="C48" s="2">
        <f>Table1[[#This Row],[Ppv(W)]]/Table1[[#This Row],[Vpv(V)]]</f>
        <v>9.4091954022988507</v>
      </c>
      <c r="D48">
        <v>163.72</v>
      </c>
      <c r="E48">
        <v>39.96</v>
      </c>
      <c r="F48">
        <v>3.18</v>
      </c>
      <c r="G48">
        <v>126.88</v>
      </c>
      <c r="H48" s="6">
        <v>59.87</v>
      </c>
      <c r="I48" s="6">
        <f>Table1[[#This Row],[State]]*10</f>
        <v>10</v>
      </c>
      <c r="J48" s="1">
        <v>1</v>
      </c>
      <c r="K48">
        <v>191</v>
      </c>
      <c r="L48" s="3">
        <f t="shared" si="0"/>
        <v>77.498167603225028</v>
      </c>
    </row>
    <row r="49" spans="1:12" x14ac:dyDescent="0.25">
      <c r="A49" s="7">
        <v>48</v>
      </c>
      <c r="B49">
        <v>17.350000000000001</v>
      </c>
      <c r="C49" s="2">
        <f>Table1[[#This Row],[Ppv(W)]]/Table1[[#This Row],[Vpv(V)]]</f>
        <v>9.461671469740633</v>
      </c>
      <c r="D49">
        <v>164.16</v>
      </c>
      <c r="E49">
        <v>39.96</v>
      </c>
      <c r="F49">
        <v>3.18</v>
      </c>
      <c r="G49">
        <v>126.88</v>
      </c>
      <c r="H49" s="6">
        <v>59.87</v>
      </c>
      <c r="I49" s="6">
        <f>Table1[[#This Row],[State]]*10</f>
        <v>0</v>
      </c>
      <c r="J49" s="1">
        <v>0</v>
      </c>
      <c r="K49">
        <v>191</v>
      </c>
      <c r="L49" s="3">
        <f t="shared" si="0"/>
        <v>77.290448343079916</v>
      </c>
    </row>
    <row r="50" spans="1:12" x14ac:dyDescent="0.25">
      <c r="A50" s="7">
        <v>49</v>
      </c>
      <c r="B50">
        <v>17.350000000000001</v>
      </c>
      <c r="C50" s="2">
        <f>Table1[[#This Row],[Ppv(W)]]/Table1[[#This Row],[Vpv(V)]]</f>
        <v>9.6178674351585016</v>
      </c>
      <c r="D50">
        <v>166.87</v>
      </c>
      <c r="E50">
        <v>39.96</v>
      </c>
      <c r="F50">
        <v>3.19</v>
      </c>
      <c r="G50">
        <v>127.3</v>
      </c>
      <c r="H50" s="6">
        <v>58.31</v>
      </c>
      <c r="I50" s="6">
        <f>Table1[[#This Row],[State]]*10</f>
        <v>10</v>
      </c>
      <c r="J50" s="1">
        <v>1</v>
      </c>
      <c r="K50">
        <v>191</v>
      </c>
      <c r="L50" s="3">
        <f t="shared" si="0"/>
        <v>76.286929945466525</v>
      </c>
    </row>
    <row r="51" spans="1:12" x14ac:dyDescent="0.25">
      <c r="A51" s="7">
        <v>50</v>
      </c>
      <c r="B51">
        <v>17.3</v>
      </c>
      <c r="C51" s="2">
        <f>Table1[[#This Row],[Ppv(W)]]/Table1[[#This Row],[Vpv(V)]]</f>
        <v>9.6901734104046238</v>
      </c>
      <c r="D51">
        <v>167.64</v>
      </c>
      <c r="E51">
        <v>39.96</v>
      </c>
      <c r="F51">
        <v>3.19</v>
      </c>
      <c r="G51">
        <v>127.51</v>
      </c>
      <c r="H51" s="6">
        <v>56.74</v>
      </c>
      <c r="I51" s="6">
        <f>Table1[[#This Row],[State]]*10</f>
        <v>10</v>
      </c>
      <c r="J51" s="1">
        <v>1</v>
      </c>
      <c r="K51">
        <v>191</v>
      </c>
      <c r="L51" s="3">
        <f t="shared" si="0"/>
        <v>76.061799093295164</v>
      </c>
    </row>
    <row r="52" spans="1:12" x14ac:dyDescent="0.25">
      <c r="A52" s="7">
        <v>51</v>
      </c>
      <c r="B52">
        <v>17.41</v>
      </c>
      <c r="C52" s="2">
        <f>Table1[[#This Row],[Ppv(W)]]/Table1[[#This Row],[Vpv(V)]]</f>
        <v>9.2004595060310166</v>
      </c>
      <c r="D52">
        <v>160.18</v>
      </c>
      <c r="E52">
        <v>39.96</v>
      </c>
      <c r="F52">
        <v>3.18</v>
      </c>
      <c r="G52">
        <v>127.09</v>
      </c>
      <c r="H52" s="6">
        <v>58.31</v>
      </c>
      <c r="I52" s="6">
        <f>Table1[[#This Row],[State]]*10</f>
        <v>20</v>
      </c>
      <c r="J52" s="1">
        <v>2</v>
      </c>
      <c r="K52">
        <v>191</v>
      </c>
      <c r="L52" s="3">
        <f t="shared" si="0"/>
        <v>79.341990260956422</v>
      </c>
    </row>
    <row r="53" spans="1:12" x14ac:dyDescent="0.25">
      <c r="A53" s="7">
        <v>52</v>
      </c>
      <c r="B53">
        <v>17.43</v>
      </c>
      <c r="C53" s="2">
        <f>Table1[[#This Row],[Ppv(W)]]/Table1[[#This Row],[Vpv(V)]]</f>
        <v>9.1353987378083765</v>
      </c>
      <c r="D53">
        <v>159.22999999999999</v>
      </c>
      <c r="E53">
        <v>39.96</v>
      </c>
      <c r="F53">
        <v>3.18</v>
      </c>
      <c r="G53">
        <v>126.99</v>
      </c>
      <c r="H53" s="6">
        <v>59.87</v>
      </c>
      <c r="I53" s="6">
        <f>Table1[[#This Row],[State]]*10</f>
        <v>20</v>
      </c>
      <c r="J53" s="1">
        <v>2</v>
      </c>
      <c r="K53">
        <v>191</v>
      </c>
      <c r="L53" s="3">
        <f t="shared" si="0"/>
        <v>79.75255919110721</v>
      </c>
    </row>
    <row r="54" spans="1:12" x14ac:dyDescent="0.25">
      <c r="A54" s="7">
        <v>53</v>
      </c>
      <c r="B54">
        <v>17.43</v>
      </c>
      <c r="C54" s="2">
        <f>Table1[[#This Row],[Ppv(W)]]/Table1[[#This Row],[Vpv(V)]]</f>
        <v>9.1061388410786002</v>
      </c>
      <c r="D54">
        <v>158.72</v>
      </c>
      <c r="E54">
        <v>39.96</v>
      </c>
      <c r="F54">
        <v>3.18</v>
      </c>
      <c r="G54">
        <v>126.99</v>
      </c>
      <c r="H54" s="6">
        <v>59.87</v>
      </c>
      <c r="I54" s="6">
        <f>Table1[[#This Row],[State]]*10</f>
        <v>20</v>
      </c>
      <c r="J54" s="1">
        <v>2</v>
      </c>
      <c r="K54">
        <v>191</v>
      </c>
      <c r="L54" s="3">
        <f t="shared" si="0"/>
        <v>80.008820564516128</v>
      </c>
    </row>
    <row r="55" spans="1:12" x14ac:dyDescent="0.25">
      <c r="A55" s="7">
        <v>54</v>
      </c>
      <c r="B55">
        <v>17.440000000000001</v>
      </c>
      <c r="C55" s="2">
        <f>Table1[[#This Row],[Ppv(W)]]/Table1[[#This Row],[Vpv(V)]]</f>
        <v>9.1496559633027505</v>
      </c>
      <c r="D55">
        <v>159.57</v>
      </c>
      <c r="E55">
        <v>39.96</v>
      </c>
      <c r="F55">
        <v>3.18</v>
      </c>
      <c r="G55">
        <v>127.09</v>
      </c>
      <c r="H55" s="6">
        <v>58.31</v>
      </c>
      <c r="I55" s="6">
        <f>Table1[[#This Row],[State]]*10</f>
        <v>10</v>
      </c>
      <c r="J55" s="1">
        <v>1</v>
      </c>
      <c r="K55">
        <v>191</v>
      </c>
      <c r="L55" s="3">
        <f t="shared" si="0"/>
        <v>79.645296734975247</v>
      </c>
    </row>
    <row r="56" spans="1:12" x14ac:dyDescent="0.25">
      <c r="A56" s="7">
        <v>55</v>
      </c>
      <c r="B56">
        <v>17.37</v>
      </c>
      <c r="C56" s="2">
        <f>Table1[[#This Row],[Ppv(W)]]/Table1[[#This Row],[Vpv(V)]]</f>
        <v>9.2475532527345994</v>
      </c>
      <c r="D56">
        <v>160.63</v>
      </c>
      <c r="E56">
        <v>39.96</v>
      </c>
      <c r="F56">
        <v>3.19</v>
      </c>
      <c r="G56">
        <v>127.41</v>
      </c>
      <c r="H56" s="6">
        <v>59.87</v>
      </c>
      <c r="I56" s="6">
        <f>Table1[[#This Row],[State]]*10</f>
        <v>10</v>
      </c>
      <c r="J56" s="1">
        <v>1</v>
      </c>
      <c r="K56">
        <v>191</v>
      </c>
      <c r="L56" s="3">
        <f t="shared" si="0"/>
        <v>79.318931706406033</v>
      </c>
    </row>
    <row r="57" spans="1:12" x14ac:dyDescent="0.25">
      <c r="A57" s="7">
        <v>56</v>
      </c>
      <c r="B57">
        <v>17.329999999999998</v>
      </c>
      <c r="C57" s="2">
        <f>Table1[[#This Row],[Ppv(W)]]/Table1[[#This Row],[Vpv(V)]]</f>
        <v>9.2781304096941728</v>
      </c>
      <c r="D57">
        <v>160.79</v>
      </c>
      <c r="E57">
        <v>39.96</v>
      </c>
      <c r="F57">
        <v>3.19</v>
      </c>
      <c r="G57">
        <v>127.51</v>
      </c>
      <c r="H57" s="6">
        <v>59.87</v>
      </c>
      <c r="I57" s="6">
        <f>Table1[[#This Row],[State]]*10</f>
        <v>0</v>
      </c>
      <c r="J57" s="1">
        <v>0</v>
      </c>
      <c r="K57">
        <v>191</v>
      </c>
      <c r="L57" s="3">
        <f t="shared" si="0"/>
        <v>79.302195410162341</v>
      </c>
    </row>
    <row r="58" spans="1:12" x14ac:dyDescent="0.25">
      <c r="A58" s="7">
        <v>57</v>
      </c>
      <c r="B58">
        <v>17.309999999999999</v>
      </c>
      <c r="C58" s="2">
        <f>Table1[[#This Row],[Ppv(W)]]/Table1[[#This Row],[Vpv(V)]]</f>
        <v>9.2518775274407865</v>
      </c>
      <c r="D58">
        <v>160.15</v>
      </c>
      <c r="E58">
        <v>39.96</v>
      </c>
      <c r="F58">
        <v>3.19</v>
      </c>
      <c r="G58">
        <v>127.51</v>
      </c>
      <c r="H58" s="6">
        <v>58.31</v>
      </c>
      <c r="I58" s="6">
        <f>Table1[[#This Row],[State]]*10</f>
        <v>20</v>
      </c>
      <c r="J58" s="1">
        <v>2</v>
      </c>
      <c r="K58">
        <v>191</v>
      </c>
      <c r="L58" s="3">
        <f t="shared" si="0"/>
        <v>79.619107087105832</v>
      </c>
    </row>
    <row r="59" spans="1:12" x14ac:dyDescent="0.25">
      <c r="A59" s="7">
        <v>58</v>
      </c>
      <c r="B59">
        <v>17.3</v>
      </c>
      <c r="C59" s="2">
        <f>Table1[[#This Row],[Ppv(W)]]/Table1[[#This Row],[Vpv(V)]]</f>
        <v>9.117341040462426</v>
      </c>
      <c r="D59">
        <v>157.72999999999999</v>
      </c>
      <c r="E59">
        <v>39.96</v>
      </c>
      <c r="F59">
        <v>3.18</v>
      </c>
      <c r="G59">
        <v>127.2</v>
      </c>
      <c r="H59" s="6">
        <v>56.74</v>
      </c>
      <c r="I59" s="6">
        <f>Table1[[#This Row],[State]]*10</f>
        <v>20</v>
      </c>
      <c r="J59" s="1">
        <v>2</v>
      </c>
      <c r="K59">
        <v>191</v>
      </c>
      <c r="L59" s="3">
        <f t="shared" si="0"/>
        <v>80.644138718062521</v>
      </c>
    </row>
    <row r="60" spans="1:12" x14ac:dyDescent="0.25">
      <c r="A60" s="7">
        <v>59</v>
      </c>
      <c r="B60">
        <v>17.350000000000001</v>
      </c>
      <c r="C60" s="2">
        <f>Table1[[#This Row],[Ppv(W)]]/Table1[[#This Row],[Vpv(V)]]</f>
        <v>9.0922190201729105</v>
      </c>
      <c r="D60">
        <v>157.75</v>
      </c>
      <c r="E60">
        <v>39.96</v>
      </c>
      <c r="F60">
        <v>3.18</v>
      </c>
      <c r="G60">
        <v>127.09</v>
      </c>
      <c r="H60" s="6">
        <v>55.17</v>
      </c>
      <c r="I60" s="6">
        <f>Table1[[#This Row],[State]]*10</f>
        <v>0</v>
      </c>
      <c r="J60" s="1">
        <v>0</v>
      </c>
      <c r="K60">
        <v>181</v>
      </c>
      <c r="L60" s="3">
        <f t="shared" si="0"/>
        <v>80.564183835182263</v>
      </c>
    </row>
    <row r="61" spans="1:12" x14ac:dyDescent="0.25">
      <c r="A61" s="7">
        <v>60</v>
      </c>
      <c r="B61">
        <v>17.48</v>
      </c>
      <c r="C61" s="2">
        <f>Table1[[#This Row],[Ppv(W)]]/Table1[[#This Row],[Vpv(V)]]</f>
        <v>8.9227688787185357</v>
      </c>
      <c r="D61">
        <v>155.97</v>
      </c>
      <c r="E61">
        <v>39.96</v>
      </c>
      <c r="F61">
        <v>3.16</v>
      </c>
      <c r="G61">
        <v>126.46</v>
      </c>
      <c r="H61" s="6">
        <v>56.74</v>
      </c>
      <c r="I61" s="6">
        <f>Table1[[#This Row],[State]]*10</f>
        <v>20</v>
      </c>
      <c r="J61" s="1">
        <v>2</v>
      </c>
      <c r="K61">
        <v>181</v>
      </c>
      <c r="L61" s="3">
        <f t="shared" si="0"/>
        <v>81.079694813105078</v>
      </c>
    </row>
    <row r="62" spans="1:12" x14ac:dyDescent="0.25">
      <c r="A62" s="7">
        <v>61</v>
      </c>
      <c r="B62">
        <v>17.55</v>
      </c>
      <c r="C62" s="2">
        <f>Table1[[#This Row],[Ppv(W)]]/Table1[[#This Row],[Vpv(V)]]</f>
        <v>8.7720797720797705</v>
      </c>
      <c r="D62">
        <v>153.94999999999999</v>
      </c>
      <c r="E62">
        <v>39.96</v>
      </c>
      <c r="F62">
        <v>3.15</v>
      </c>
      <c r="G62">
        <v>126.04</v>
      </c>
      <c r="H62" s="6">
        <v>58.31</v>
      </c>
      <c r="I62" s="6">
        <f>Table1[[#This Row],[State]]*10</f>
        <v>20</v>
      </c>
      <c r="J62" s="1">
        <v>2</v>
      </c>
      <c r="K62">
        <v>181</v>
      </c>
      <c r="L62" s="3">
        <f t="shared" si="0"/>
        <v>81.870737252354672</v>
      </c>
    </row>
    <row r="63" spans="1:12" x14ac:dyDescent="0.25">
      <c r="A63" s="7">
        <v>62</v>
      </c>
      <c r="B63">
        <v>17.53</v>
      </c>
      <c r="C63" s="2">
        <f>Table1[[#This Row],[Ppv(W)]]/Table1[[#This Row],[Vpv(V)]]</f>
        <v>8.8094694808899021</v>
      </c>
      <c r="D63">
        <v>154.43</v>
      </c>
      <c r="E63">
        <v>39.96</v>
      </c>
      <c r="F63">
        <v>3.16</v>
      </c>
      <c r="G63">
        <v>126.14</v>
      </c>
      <c r="H63" s="6">
        <v>59.87</v>
      </c>
      <c r="I63" s="6">
        <f>Table1[[#This Row],[State]]*10</f>
        <v>0</v>
      </c>
      <c r="J63" s="1">
        <v>0</v>
      </c>
      <c r="K63">
        <v>186</v>
      </c>
      <c r="L63" s="3">
        <f t="shared" si="0"/>
        <v>81.681020527099662</v>
      </c>
    </row>
    <row r="64" spans="1:12" x14ac:dyDescent="0.25">
      <c r="A64" s="7">
        <v>63</v>
      </c>
      <c r="B64">
        <v>17.45</v>
      </c>
      <c r="C64" s="2">
        <f>Table1[[#This Row],[Ppv(W)]]/Table1[[#This Row],[Vpv(V)]]</f>
        <v>8.9163323782234958</v>
      </c>
      <c r="D64">
        <v>155.59</v>
      </c>
      <c r="E64">
        <v>39.96</v>
      </c>
      <c r="F64">
        <v>3.16</v>
      </c>
      <c r="G64">
        <v>126.35</v>
      </c>
      <c r="H64" s="6">
        <v>59.87</v>
      </c>
      <c r="I64" s="6">
        <f>Table1[[#This Row],[State]]*10</f>
        <v>10</v>
      </c>
      <c r="J64" s="1">
        <v>1</v>
      </c>
      <c r="K64">
        <v>186</v>
      </c>
      <c r="L64" s="3">
        <f t="shared" si="0"/>
        <v>81.207018445915551</v>
      </c>
    </row>
    <row r="65" spans="1:12" x14ac:dyDescent="0.25">
      <c r="A65" s="7">
        <v>64</v>
      </c>
      <c r="B65">
        <v>17.34</v>
      </c>
      <c r="C65" s="2">
        <f>Table1[[#This Row],[Ppv(W)]]/Table1[[#This Row],[Vpv(V)]]</f>
        <v>9.0674740484429055</v>
      </c>
      <c r="D65">
        <v>157.22999999999999</v>
      </c>
      <c r="E65">
        <v>39.96</v>
      </c>
      <c r="F65">
        <v>3.17</v>
      </c>
      <c r="G65">
        <v>126.78</v>
      </c>
      <c r="H65" s="6">
        <v>59.87</v>
      </c>
      <c r="I65" s="6">
        <f>Table1[[#This Row],[State]]*10</f>
        <v>10</v>
      </c>
      <c r="J65" s="1">
        <v>1</v>
      </c>
      <c r="K65">
        <v>186</v>
      </c>
      <c r="L65" s="3">
        <f t="shared" si="0"/>
        <v>80.633466895630619</v>
      </c>
    </row>
    <row r="66" spans="1:12" x14ac:dyDescent="0.25">
      <c r="A66" s="7">
        <v>65</v>
      </c>
      <c r="B66">
        <v>17.23</v>
      </c>
      <c r="C66" s="2">
        <f>Table1[[#This Row],[Ppv(W)]]/Table1[[#This Row],[Vpv(V)]]</f>
        <v>9.3528728961114336</v>
      </c>
      <c r="D66">
        <v>161.15</v>
      </c>
      <c r="E66">
        <v>39.96</v>
      </c>
      <c r="F66">
        <v>3.19</v>
      </c>
      <c r="G66">
        <v>127.41</v>
      </c>
      <c r="H66" s="6">
        <v>59.87</v>
      </c>
      <c r="I66" s="6">
        <f>Table1[[#This Row],[State]]*10</f>
        <v>10</v>
      </c>
      <c r="J66" s="1">
        <v>1</v>
      </c>
      <c r="K66">
        <v>186</v>
      </c>
      <c r="L66" s="3">
        <f t="shared" si="0"/>
        <v>79.062984796773179</v>
      </c>
    </row>
    <row r="67" spans="1:12" x14ac:dyDescent="0.25">
      <c r="A67" s="7">
        <v>66</v>
      </c>
      <c r="B67">
        <v>17.23</v>
      </c>
      <c r="C67" s="2">
        <f>Table1[[#This Row],[Ppv(W)]]/Table1[[#This Row],[Vpv(V)]]</f>
        <v>9.4585026117237376</v>
      </c>
      <c r="D67">
        <v>162.97</v>
      </c>
      <c r="E67">
        <v>39.96</v>
      </c>
      <c r="F67">
        <v>3.19</v>
      </c>
      <c r="G67">
        <v>127.62</v>
      </c>
      <c r="H67" s="6">
        <v>58.31</v>
      </c>
      <c r="I67" s="6">
        <f>Table1[[#This Row],[State]]*10</f>
        <v>10</v>
      </c>
      <c r="J67" s="1">
        <v>1</v>
      </c>
      <c r="K67">
        <v>186</v>
      </c>
      <c r="L67" s="3">
        <f t="shared" ref="L67:L130" si="1">(G67/D67)*100</f>
        <v>78.308891206970614</v>
      </c>
    </row>
    <row r="68" spans="1:12" x14ac:dyDescent="0.25">
      <c r="A68" s="7">
        <v>67</v>
      </c>
      <c r="B68">
        <v>17.29</v>
      </c>
      <c r="C68" s="2">
        <f>Table1[[#This Row],[Ppv(W)]]/Table1[[#This Row],[Vpv(V)]]</f>
        <v>9.2359745517640253</v>
      </c>
      <c r="D68">
        <v>159.69</v>
      </c>
      <c r="E68">
        <v>39.96</v>
      </c>
      <c r="F68">
        <v>3.19</v>
      </c>
      <c r="G68">
        <v>127.3</v>
      </c>
      <c r="H68" s="6">
        <v>59.87</v>
      </c>
      <c r="I68" s="6">
        <f>Table1[[#This Row],[State]]*10</f>
        <v>20</v>
      </c>
      <c r="J68" s="1">
        <v>2</v>
      </c>
      <c r="K68">
        <v>186</v>
      </c>
      <c r="L68" s="3">
        <f t="shared" si="1"/>
        <v>79.716951593712821</v>
      </c>
    </row>
    <row r="69" spans="1:12" x14ac:dyDescent="0.25">
      <c r="A69" s="7">
        <v>68</v>
      </c>
      <c r="B69">
        <v>17.309999999999999</v>
      </c>
      <c r="C69" s="2">
        <f>Table1[[#This Row],[Ppv(W)]]/Table1[[#This Row],[Vpv(V)]]</f>
        <v>9.2426343154246116</v>
      </c>
      <c r="D69">
        <v>159.99</v>
      </c>
      <c r="E69">
        <v>39.96</v>
      </c>
      <c r="F69">
        <v>3.19</v>
      </c>
      <c r="G69">
        <v>127.3</v>
      </c>
      <c r="H69" s="6">
        <v>59.87</v>
      </c>
      <c r="I69" s="6">
        <f>Table1[[#This Row],[State]]*10</f>
        <v>0</v>
      </c>
      <c r="J69" s="1">
        <v>0</v>
      </c>
      <c r="K69">
        <v>191</v>
      </c>
      <c r="L69" s="3">
        <f t="shared" si="1"/>
        <v>79.567472967060439</v>
      </c>
    </row>
    <row r="70" spans="1:12" x14ac:dyDescent="0.25">
      <c r="A70" s="7">
        <v>69</v>
      </c>
      <c r="B70">
        <v>17.3</v>
      </c>
      <c r="C70" s="2">
        <f>Table1[[#This Row],[Ppv(W)]]/Table1[[#This Row],[Vpv(V)]]</f>
        <v>9.2069364161849716</v>
      </c>
      <c r="D70">
        <v>159.28</v>
      </c>
      <c r="E70">
        <v>39.96</v>
      </c>
      <c r="F70">
        <v>3.19</v>
      </c>
      <c r="G70">
        <v>127.3</v>
      </c>
      <c r="H70" s="6">
        <v>58.31</v>
      </c>
      <c r="I70" s="6">
        <f>Table1[[#This Row],[State]]*10</f>
        <v>20</v>
      </c>
      <c r="J70" s="1">
        <v>2</v>
      </c>
      <c r="K70">
        <v>191</v>
      </c>
      <c r="L70" s="3">
        <f t="shared" si="1"/>
        <v>79.922149673530882</v>
      </c>
    </row>
    <row r="71" spans="1:12" x14ac:dyDescent="0.25">
      <c r="A71" s="7">
        <v>70</v>
      </c>
      <c r="B71">
        <v>17.27</v>
      </c>
      <c r="C71" s="2">
        <f>Table1[[#This Row],[Ppv(W)]]/Table1[[#This Row],[Vpv(V)]]</f>
        <v>9.1239143022582514</v>
      </c>
      <c r="D71">
        <v>157.57</v>
      </c>
      <c r="E71">
        <v>39.96</v>
      </c>
      <c r="F71">
        <v>3.18</v>
      </c>
      <c r="G71">
        <v>127.2</v>
      </c>
      <c r="H71" s="6">
        <v>56.74</v>
      </c>
      <c r="I71" s="6">
        <f>Table1[[#This Row],[State]]*10</f>
        <v>20</v>
      </c>
      <c r="J71" s="1">
        <v>2</v>
      </c>
      <c r="K71">
        <v>191</v>
      </c>
      <c r="L71" s="3">
        <f t="shared" si="1"/>
        <v>80.726026527892373</v>
      </c>
    </row>
    <row r="72" spans="1:12" x14ac:dyDescent="0.25">
      <c r="A72" s="7">
        <v>71</v>
      </c>
      <c r="B72">
        <v>17.32</v>
      </c>
      <c r="C72" s="2">
        <f>Table1[[#This Row],[Ppv(W)]]/Table1[[#This Row],[Vpv(V)]]</f>
        <v>9.053117782909931</v>
      </c>
      <c r="D72">
        <v>156.80000000000001</v>
      </c>
      <c r="E72">
        <v>39.96</v>
      </c>
      <c r="F72">
        <v>3.18</v>
      </c>
      <c r="G72">
        <v>127.09</v>
      </c>
      <c r="H72" s="6">
        <v>58.31</v>
      </c>
      <c r="I72" s="6">
        <f>Table1[[#This Row],[State]]*10</f>
        <v>20</v>
      </c>
      <c r="J72" s="1">
        <v>2</v>
      </c>
      <c r="K72">
        <v>191</v>
      </c>
      <c r="L72" s="3">
        <f t="shared" si="1"/>
        <v>81.052295918367349</v>
      </c>
    </row>
    <row r="73" spans="1:12" x14ac:dyDescent="0.25">
      <c r="A73" s="7">
        <v>72</v>
      </c>
      <c r="B73">
        <v>17.39</v>
      </c>
      <c r="C73" s="2">
        <f>Table1[[#This Row],[Ppv(W)]]/Table1[[#This Row],[Vpv(V)]]</f>
        <v>8.899942495687176</v>
      </c>
      <c r="D73">
        <v>154.77000000000001</v>
      </c>
      <c r="E73">
        <v>39.96</v>
      </c>
      <c r="F73">
        <v>3.18</v>
      </c>
      <c r="G73">
        <v>126.88</v>
      </c>
      <c r="H73" s="6">
        <v>59.87</v>
      </c>
      <c r="I73" s="6">
        <f>Table1[[#This Row],[State]]*10</f>
        <v>20</v>
      </c>
      <c r="J73" s="1">
        <v>2</v>
      </c>
      <c r="K73">
        <v>191</v>
      </c>
      <c r="L73" s="3">
        <f t="shared" si="1"/>
        <v>81.979711830458086</v>
      </c>
    </row>
    <row r="74" spans="1:12" x14ac:dyDescent="0.25">
      <c r="A74" s="7">
        <v>73</v>
      </c>
      <c r="B74">
        <v>17.41</v>
      </c>
      <c r="C74" s="2">
        <f>Table1[[#This Row],[Ppv(W)]]/Table1[[#This Row],[Vpv(V)]]</f>
        <v>8.9431361286616884</v>
      </c>
      <c r="D74">
        <v>155.69999999999999</v>
      </c>
      <c r="E74">
        <v>39.96</v>
      </c>
      <c r="F74">
        <v>3.18</v>
      </c>
      <c r="G74">
        <v>126.88</v>
      </c>
      <c r="H74" s="6">
        <v>59.87</v>
      </c>
      <c r="I74" s="6">
        <f>Table1[[#This Row],[State]]*10</f>
        <v>10</v>
      </c>
      <c r="J74" s="1">
        <v>1</v>
      </c>
      <c r="K74">
        <v>191</v>
      </c>
      <c r="L74" s="3">
        <f t="shared" si="1"/>
        <v>81.490044958253051</v>
      </c>
    </row>
    <row r="75" spans="1:12" x14ac:dyDescent="0.25">
      <c r="A75" s="7">
        <v>74</v>
      </c>
      <c r="B75">
        <v>17.39</v>
      </c>
      <c r="C75" s="2">
        <f>Table1[[#This Row],[Ppv(W)]]/Table1[[#This Row],[Vpv(V)]]</f>
        <v>9.185738930419781</v>
      </c>
      <c r="D75">
        <v>159.74</v>
      </c>
      <c r="E75">
        <v>39.96</v>
      </c>
      <c r="F75">
        <v>3.18</v>
      </c>
      <c r="G75">
        <v>127.09</v>
      </c>
      <c r="H75" s="6">
        <v>58.31</v>
      </c>
      <c r="I75" s="6">
        <f>Table1[[#This Row],[State]]*10</f>
        <v>10</v>
      </c>
      <c r="J75" s="1">
        <v>1</v>
      </c>
      <c r="K75">
        <v>191</v>
      </c>
      <c r="L75" s="3">
        <f t="shared" si="1"/>
        <v>79.560535870790034</v>
      </c>
    </row>
    <row r="76" spans="1:12" x14ac:dyDescent="0.25">
      <c r="A76" s="7">
        <v>75</v>
      </c>
      <c r="B76">
        <v>17.36</v>
      </c>
      <c r="C76" s="2">
        <f>Table1[[#This Row],[Ppv(W)]]/Table1[[#This Row],[Vpv(V)]]</f>
        <v>9.3087557603686637</v>
      </c>
      <c r="D76">
        <v>161.6</v>
      </c>
      <c r="E76">
        <v>39.96</v>
      </c>
      <c r="F76">
        <v>3.19</v>
      </c>
      <c r="G76">
        <v>127.3</v>
      </c>
      <c r="H76" s="6">
        <v>56.74</v>
      </c>
      <c r="I76" s="6">
        <f>Table1[[#This Row],[State]]*10</f>
        <v>10</v>
      </c>
      <c r="J76" s="1">
        <v>1</v>
      </c>
      <c r="K76">
        <v>191</v>
      </c>
      <c r="L76" s="3">
        <f t="shared" si="1"/>
        <v>78.774752475247524</v>
      </c>
    </row>
    <row r="77" spans="1:12" x14ac:dyDescent="0.25">
      <c r="A77" s="7">
        <v>76</v>
      </c>
      <c r="B77">
        <v>17.399999999999999</v>
      </c>
      <c r="C77" s="2">
        <f>Table1[[#This Row],[Ppv(W)]]/Table1[[#This Row],[Vpv(V)]]</f>
        <v>9.1827586206896559</v>
      </c>
      <c r="D77">
        <v>159.78</v>
      </c>
      <c r="E77">
        <v>39.96</v>
      </c>
      <c r="F77">
        <v>3.18</v>
      </c>
      <c r="G77">
        <v>126.99</v>
      </c>
      <c r="H77" s="6">
        <v>55.17</v>
      </c>
      <c r="I77" s="6">
        <f>Table1[[#This Row],[State]]*10</f>
        <v>20</v>
      </c>
      <c r="J77" s="1">
        <v>2</v>
      </c>
      <c r="K77">
        <v>191</v>
      </c>
      <c r="L77" s="3">
        <f t="shared" si="1"/>
        <v>79.478032294404798</v>
      </c>
    </row>
    <row r="78" spans="1:12" x14ac:dyDescent="0.25">
      <c r="A78" s="7">
        <v>77</v>
      </c>
      <c r="B78">
        <v>17.48</v>
      </c>
      <c r="C78" s="2">
        <f>Table1[[#This Row],[Ppv(W)]]/Table1[[#This Row],[Vpv(V)]]</f>
        <v>8.860411899313501</v>
      </c>
      <c r="D78">
        <v>154.88</v>
      </c>
      <c r="E78">
        <v>39.96</v>
      </c>
      <c r="F78">
        <v>3.16</v>
      </c>
      <c r="G78">
        <v>126.35</v>
      </c>
      <c r="H78" s="6">
        <v>56.74</v>
      </c>
      <c r="I78" s="6">
        <f>Table1[[#This Row],[State]]*10</f>
        <v>20</v>
      </c>
      <c r="J78" s="1">
        <v>2</v>
      </c>
      <c r="K78">
        <v>191</v>
      </c>
      <c r="L78" s="3">
        <f t="shared" si="1"/>
        <v>81.579287190082638</v>
      </c>
    </row>
    <row r="79" spans="1:12" x14ac:dyDescent="0.25">
      <c r="A79" s="7">
        <v>78</v>
      </c>
      <c r="B79">
        <v>17.54</v>
      </c>
      <c r="C79" s="2">
        <f>Table1[[#This Row],[Ppv(W)]]/Table1[[#This Row],[Vpv(V)]]</f>
        <v>8.6955530216647681</v>
      </c>
      <c r="D79">
        <v>152.52000000000001</v>
      </c>
      <c r="E79">
        <v>39.96</v>
      </c>
      <c r="F79">
        <v>3.15</v>
      </c>
      <c r="G79">
        <v>126.04</v>
      </c>
      <c r="H79" s="6">
        <v>58.31</v>
      </c>
      <c r="I79" s="6">
        <f>Table1[[#This Row],[State]]*10</f>
        <v>20</v>
      </c>
      <c r="J79" s="1">
        <v>2</v>
      </c>
      <c r="K79">
        <v>191</v>
      </c>
      <c r="L79" s="3">
        <f t="shared" si="1"/>
        <v>82.638342512457385</v>
      </c>
    </row>
    <row r="80" spans="1:12" x14ac:dyDescent="0.25">
      <c r="A80" s="7">
        <v>79</v>
      </c>
      <c r="B80">
        <v>17.510000000000002</v>
      </c>
      <c r="C80" s="2">
        <f>Table1[[#This Row],[Ppv(W)]]/Table1[[#This Row],[Vpv(V)]]</f>
        <v>8.7332952598515128</v>
      </c>
      <c r="D80">
        <v>152.91999999999999</v>
      </c>
      <c r="E80">
        <v>39.96</v>
      </c>
      <c r="F80">
        <v>3.16</v>
      </c>
      <c r="G80">
        <v>126.14</v>
      </c>
      <c r="H80" s="6">
        <v>59.87</v>
      </c>
      <c r="I80" s="6">
        <f>Table1[[#This Row],[State]]*10</f>
        <v>0</v>
      </c>
      <c r="J80" s="1">
        <v>0</v>
      </c>
      <c r="K80">
        <v>186</v>
      </c>
      <c r="L80" s="3">
        <f t="shared" si="1"/>
        <v>82.487575202720393</v>
      </c>
    </row>
    <row r="81" spans="1:12" x14ac:dyDescent="0.25">
      <c r="A81" s="7">
        <v>80</v>
      </c>
      <c r="B81">
        <v>17.45</v>
      </c>
      <c r="C81" s="2">
        <f>Table1[[#This Row],[Ppv(W)]]/Table1[[#This Row],[Vpv(V)]]</f>
        <v>8.8888252148997147</v>
      </c>
      <c r="D81">
        <v>155.11000000000001</v>
      </c>
      <c r="E81">
        <v>39.96</v>
      </c>
      <c r="F81">
        <v>3.16</v>
      </c>
      <c r="G81">
        <v>126.46</v>
      </c>
      <c r="H81" s="6">
        <v>59.87</v>
      </c>
      <c r="I81" s="6">
        <f>Table1[[#This Row],[State]]*10</f>
        <v>10</v>
      </c>
      <c r="J81" s="1">
        <v>1</v>
      </c>
      <c r="K81">
        <v>186</v>
      </c>
      <c r="L81" s="3">
        <f t="shared" si="1"/>
        <v>81.529237315453543</v>
      </c>
    </row>
    <row r="82" spans="1:12" x14ac:dyDescent="0.25">
      <c r="A82" s="7">
        <v>81</v>
      </c>
      <c r="B82">
        <v>17.39</v>
      </c>
      <c r="C82" s="2">
        <f>Table1[[#This Row],[Ppv(W)]]/Table1[[#This Row],[Vpv(V)]]</f>
        <v>9.0937320299022417</v>
      </c>
      <c r="D82">
        <v>158.13999999999999</v>
      </c>
      <c r="E82">
        <v>39.96</v>
      </c>
      <c r="F82">
        <v>3.18</v>
      </c>
      <c r="G82">
        <v>127.09</v>
      </c>
      <c r="H82" s="6">
        <v>59.87</v>
      </c>
      <c r="I82" s="6">
        <f>Table1[[#This Row],[State]]*10</f>
        <v>10</v>
      </c>
      <c r="J82" s="1">
        <v>1</v>
      </c>
      <c r="K82">
        <v>186</v>
      </c>
      <c r="L82" s="3">
        <f t="shared" si="1"/>
        <v>80.36549892500318</v>
      </c>
    </row>
    <row r="83" spans="1:12" x14ac:dyDescent="0.25">
      <c r="A83" s="7">
        <v>82</v>
      </c>
      <c r="B83">
        <v>17.32</v>
      </c>
      <c r="C83" s="2">
        <f>Table1[[#This Row],[Ppv(W)]]/Table1[[#This Row],[Vpv(V)]]</f>
        <v>9.1454965357967666</v>
      </c>
      <c r="D83">
        <v>158.4</v>
      </c>
      <c r="E83">
        <v>39.96</v>
      </c>
      <c r="F83">
        <v>3.19</v>
      </c>
      <c r="G83">
        <v>127.41</v>
      </c>
      <c r="H83" s="6">
        <v>58.31</v>
      </c>
      <c r="I83" s="6">
        <f>Table1[[#This Row],[State]]*10</f>
        <v>0</v>
      </c>
      <c r="J83" s="1">
        <v>0</v>
      </c>
      <c r="K83">
        <v>191</v>
      </c>
      <c r="L83" s="3">
        <f t="shared" si="1"/>
        <v>80.435606060606062</v>
      </c>
    </row>
    <row r="84" spans="1:12" x14ac:dyDescent="0.25">
      <c r="A84" s="7">
        <v>83</v>
      </c>
      <c r="B84">
        <v>17.34</v>
      </c>
      <c r="C84" s="2">
        <f>Table1[[#This Row],[Ppv(W)]]/Table1[[#This Row],[Vpv(V)]]</f>
        <v>9.1182237600922722</v>
      </c>
      <c r="D84">
        <v>158.11000000000001</v>
      </c>
      <c r="E84">
        <v>39.96</v>
      </c>
      <c r="F84">
        <v>3.19</v>
      </c>
      <c r="G84">
        <v>127.3</v>
      </c>
      <c r="H84" s="6">
        <v>56.74</v>
      </c>
      <c r="I84" s="6">
        <f>Table1[[#This Row],[State]]*10</f>
        <v>0</v>
      </c>
      <c r="J84" s="1">
        <v>0</v>
      </c>
      <c r="K84">
        <v>186</v>
      </c>
      <c r="L84" s="3">
        <f t="shared" si="1"/>
        <v>80.513566504332417</v>
      </c>
    </row>
    <row r="85" spans="1:12" x14ac:dyDescent="0.25">
      <c r="A85" s="7">
        <v>84</v>
      </c>
      <c r="B85">
        <v>17.36</v>
      </c>
      <c r="C85" s="2">
        <f>Table1[[#This Row],[Ppv(W)]]/Table1[[#This Row],[Vpv(V)]]</f>
        <v>9.0679723502304146</v>
      </c>
      <c r="D85">
        <v>157.41999999999999</v>
      </c>
      <c r="E85">
        <v>39.96</v>
      </c>
      <c r="F85">
        <v>3.18</v>
      </c>
      <c r="G85">
        <v>127.09</v>
      </c>
      <c r="H85" s="6">
        <v>55.17</v>
      </c>
      <c r="I85" s="6">
        <f>Table1[[#This Row],[State]]*10</f>
        <v>20</v>
      </c>
      <c r="J85" s="1">
        <v>2</v>
      </c>
      <c r="K85">
        <v>186</v>
      </c>
      <c r="L85" s="3">
        <f t="shared" si="1"/>
        <v>80.733070766103424</v>
      </c>
    </row>
    <row r="86" spans="1:12" x14ac:dyDescent="0.25">
      <c r="A86" s="7">
        <v>85</v>
      </c>
      <c r="B86">
        <v>17.38</v>
      </c>
      <c r="C86" s="2">
        <f>Table1[[#This Row],[Ppv(W)]]/Table1[[#This Row],[Vpv(V)]]</f>
        <v>8.9994246260069044</v>
      </c>
      <c r="D86">
        <v>156.41</v>
      </c>
      <c r="E86">
        <v>39.96</v>
      </c>
      <c r="F86">
        <v>3.17</v>
      </c>
      <c r="G86">
        <v>126.67</v>
      </c>
      <c r="H86" s="6">
        <v>53.61</v>
      </c>
      <c r="I86" s="6">
        <f>Table1[[#This Row],[State]]*10</f>
        <v>20</v>
      </c>
      <c r="J86" s="1">
        <v>2</v>
      </c>
      <c r="K86">
        <v>186</v>
      </c>
      <c r="L86" s="3">
        <f t="shared" si="1"/>
        <v>80.985870468640115</v>
      </c>
    </row>
    <row r="87" spans="1:12" x14ac:dyDescent="0.25">
      <c r="A87" s="7">
        <v>86</v>
      </c>
      <c r="B87">
        <v>17.54</v>
      </c>
      <c r="C87" s="2">
        <f>Table1[[#This Row],[Ppv(W)]]/Table1[[#This Row],[Vpv(V)]]</f>
        <v>8.7411630558722919</v>
      </c>
      <c r="D87">
        <v>153.32</v>
      </c>
      <c r="E87">
        <v>39.96</v>
      </c>
      <c r="F87">
        <v>3.15</v>
      </c>
      <c r="G87">
        <v>125.72</v>
      </c>
      <c r="H87" s="6">
        <v>55.17</v>
      </c>
      <c r="I87" s="6">
        <f>Table1[[#This Row],[State]]*10</f>
        <v>20</v>
      </c>
      <c r="J87" s="1">
        <v>2</v>
      </c>
      <c r="K87">
        <v>186</v>
      </c>
      <c r="L87" s="3">
        <f t="shared" si="1"/>
        <v>81.998434646491006</v>
      </c>
    </row>
    <row r="88" spans="1:12" x14ac:dyDescent="0.25">
      <c r="A88" s="7">
        <v>87</v>
      </c>
      <c r="B88">
        <v>17.61</v>
      </c>
      <c r="C88" s="2">
        <f>Table1[[#This Row],[Ppv(W)]]/Table1[[#This Row],[Vpv(V)]]</f>
        <v>8.6155593412833618</v>
      </c>
      <c r="D88">
        <v>151.72</v>
      </c>
      <c r="E88">
        <v>39.96</v>
      </c>
      <c r="F88">
        <v>3.14</v>
      </c>
      <c r="G88">
        <v>125.41</v>
      </c>
      <c r="H88" s="6">
        <v>56.74</v>
      </c>
      <c r="I88" s="6">
        <f>Table1[[#This Row],[State]]*10</f>
        <v>20</v>
      </c>
      <c r="J88" s="1">
        <v>2</v>
      </c>
      <c r="K88">
        <v>186</v>
      </c>
      <c r="L88" s="3">
        <f t="shared" si="1"/>
        <v>82.658845241233848</v>
      </c>
    </row>
    <row r="89" spans="1:12" x14ac:dyDescent="0.25">
      <c r="A89" s="7">
        <v>88</v>
      </c>
      <c r="B89">
        <v>17.61</v>
      </c>
      <c r="C89" s="2">
        <f>Table1[[#This Row],[Ppv(W)]]/Table1[[#This Row],[Vpv(V)]]</f>
        <v>8.5814877910278256</v>
      </c>
      <c r="D89">
        <v>151.12</v>
      </c>
      <c r="E89">
        <v>39.96</v>
      </c>
      <c r="F89">
        <v>3.14</v>
      </c>
      <c r="G89">
        <v>125.3</v>
      </c>
      <c r="H89" s="6">
        <v>58.31</v>
      </c>
      <c r="I89" s="6">
        <f>Table1[[#This Row],[State]]*10</f>
        <v>20</v>
      </c>
      <c r="J89" s="1">
        <v>2</v>
      </c>
      <c r="K89">
        <v>186</v>
      </c>
      <c r="L89" s="3">
        <f t="shared" si="1"/>
        <v>82.914240338803594</v>
      </c>
    </row>
    <row r="90" spans="1:12" x14ac:dyDescent="0.25">
      <c r="A90" s="7">
        <v>89</v>
      </c>
      <c r="B90">
        <v>17.57</v>
      </c>
      <c r="C90" s="2">
        <f>Table1[[#This Row],[Ppv(W)]]/Table1[[#This Row],[Vpv(V)]]</f>
        <v>8.6494023904382473</v>
      </c>
      <c r="D90">
        <v>151.97</v>
      </c>
      <c r="E90">
        <v>39.96</v>
      </c>
      <c r="F90">
        <v>3.14</v>
      </c>
      <c r="G90">
        <v>125.62</v>
      </c>
      <c r="H90" s="6">
        <v>59.87</v>
      </c>
      <c r="I90" s="6">
        <f>Table1[[#This Row],[State]]*10</f>
        <v>10</v>
      </c>
      <c r="J90" s="1">
        <v>1</v>
      </c>
      <c r="K90">
        <v>186</v>
      </c>
      <c r="L90" s="3">
        <f t="shared" si="1"/>
        <v>82.661051523326975</v>
      </c>
    </row>
    <row r="91" spans="1:12" x14ac:dyDescent="0.25">
      <c r="A91" s="7">
        <v>90</v>
      </c>
      <c r="B91">
        <v>17.41</v>
      </c>
      <c r="C91" s="2">
        <f>Table1[[#This Row],[Ppv(W)]]/Table1[[#This Row],[Vpv(V)]]</f>
        <v>9.0361860999425616</v>
      </c>
      <c r="D91">
        <v>157.32</v>
      </c>
      <c r="E91">
        <v>39.96</v>
      </c>
      <c r="F91">
        <v>3.17</v>
      </c>
      <c r="G91">
        <v>126.57</v>
      </c>
      <c r="H91" s="6">
        <v>59.87</v>
      </c>
      <c r="I91" s="6">
        <f>Table1[[#This Row],[State]]*10</f>
        <v>10</v>
      </c>
      <c r="J91" s="1">
        <v>1</v>
      </c>
      <c r="K91">
        <v>186</v>
      </c>
      <c r="L91" s="3">
        <f t="shared" si="1"/>
        <v>80.453852021357747</v>
      </c>
    </row>
    <row r="92" spans="1:12" x14ac:dyDescent="0.25">
      <c r="A92" s="7">
        <v>91</v>
      </c>
      <c r="B92">
        <v>17.34</v>
      </c>
      <c r="C92" s="2">
        <f>Table1[[#This Row],[Ppv(W)]]/Table1[[#This Row],[Vpv(V)]]</f>
        <v>9.2929642445213378</v>
      </c>
      <c r="D92">
        <v>161.13999999999999</v>
      </c>
      <c r="E92">
        <v>39.96</v>
      </c>
      <c r="F92">
        <v>3.18</v>
      </c>
      <c r="G92">
        <v>127.2</v>
      </c>
      <c r="H92" s="6">
        <v>59.87</v>
      </c>
      <c r="I92" s="6">
        <f>Table1[[#This Row],[State]]*10</f>
        <v>10</v>
      </c>
      <c r="J92" s="1">
        <v>1</v>
      </c>
      <c r="K92">
        <v>186</v>
      </c>
      <c r="L92" s="3">
        <f t="shared" si="1"/>
        <v>78.937569815067661</v>
      </c>
    </row>
    <row r="93" spans="1:12" x14ac:dyDescent="0.25">
      <c r="A93" s="7">
        <v>92</v>
      </c>
      <c r="B93">
        <v>17.27</v>
      </c>
      <c r="C93" s="2">
        <f>Table1[[#This Row],[Ppv(W)]]/Table1[[#This Row],[Vpv(V)]]</f>
        <v>9.3346844238563982</v>
      </c>
      <c r="D93">
        <v>161.21</v>
      </c>
      <c r="E93">
        <v>39.96</v>
      </c>
      <c r="F93">
        <v>3.19</v>
      </c>
      <c r="G93">
        <v>127.51</v>
      </c>
      <c r="H93" s="6">
        <v>58.31</v>
      </c>
      <c r="I93" s="6">
        <f>Table1[[#This Row],[State]]*10</f>
        <v>0</v>
      </c>
      <c r="J93" s="1">
        <v>0</v>
      </c>
      <c r="K93">
        <v>191</v>
      </c>
      <c r="L93" s="3">
        <f t="shared" si="1"/>
        <v>79.095589603622614</v>
      </c>
    </row>
    <row r="94" spans="1:12" x14ac:dyDescent="0.25">
      <c r="A94" s="7">
        <v>93</v>
      </c>
      <c r="B94">
        <v>17.309999999999999</v>
      </c>
      <c r="C94" s="2">
        <f>Table1[[#This Row],[Ppv(W)]]/Table1[[#This Row],[Vpv(V)]]</f>
        <v>9.329867128827269</v>
      </c>
      <c r="D94">
        <v>161.5</v>
      </c>
      <c r="E94">
        <v>39.96</v>
      </c>
      <c r="F94">
        <v>3.19</v>
      </c>
      <c r="G94">
        <v>127.51</v>
      </c>
      <c r="H94" s="6">
        <v>56.74</v>
      </c>
      <c r="I94" s="6">
        <f>Table1[[#This Row],[State]]*10</f>
        <v>0</v>
      </c>
      <c r="J94" s="1">
        <v>0</v>
      </c>
      <c r="K94">
        <v>186</v>
      </c>
      <c r="L94" s="3">
        <f t="shared" si="1"/>
        <v>78.953560371517028</v>
      </c>
    </row>
    <row r="95" spans="1:12" x14ac:dyDescent="0.25">
      <c r="A95" s="7">
        <v>94</v>
      </c>
      <c r="B95">
        <v>17.34</v>
      </c>
      <c r="C95" s="2">
        <f>Table1[[#This Row],[Ppv(W)]]/Table1[[#This Row],[Vpv(V)]]</f>
        <v>9.2116493656286043</v>
      </c>
      <c r="D95">
        <v>159.72999999999999</v>
      </c>
      <c r="E95">
        <v>39.96</v>
      </c>
      <c r="F95">
        <v>3.19</v>
      </c>
      <c r="G95">
        <v>127.3</v>
      </c>
      <c r="H95" s="6">
        <v>55.17</v>
      </c>
      <c r="I95" s="6">
        <f>Table1[[#This Row],[State]]*10</f>
        <v>20</v>
      </c>
      <c r="J95" s="1">
        <v>2</v>
      </c>
      <c r="K95">
        <v>186</v>
      </c>
      <c r="L95" s="3">
        <f t="shared" si="1"/>
        <v>79.696988668377884</v>
      </c>
    </row>
    <row r="96" spans="1:12" x14ac:dyDescent="0.25">
      <c r="A96" s="7">
        <v>95</v>
      </c>
      <c r="B96">
        <v>17.43</v>
      </c>
      <c r="C96" s="2">
        <f>Table1[[#This Row],[Ppv(W)]]/Table1[[#This Row],[Vpv(V)]]</f>
        <v>9.0160642570281126</v>
      </c>
      <c r="D96">
        <v>157.15</v>
      </c>
      <c r="E96">
        <v>39.96</v>
      </c>
      <c r="F96">
        <v>3.17</v>
      </c>
      <c r="G96">
        <v>126.67</v>
      </c>
      <c r="H96" s="6">
        <v>56.74</v>
      </c>
      <c r="I96" s="6">
        <f>Table1[[#This Row],[State]]*10</f>
        <v>20</v>
      </c>
      <c r="J96" s="1">
        <v>2</v>
      </c>
      <c r="K96">
        <v>186</v>
      </c>
      <c r="L96" s="3">
        <f t="shared" si="1"/>
        <v>80.604517976455611</v>
      </c>
    </row>
    <row r="97" spans="1:12" x14ac:dyDescent="0.25">
      <c r="A97" s="7">
        <v>96</v>
      </c>
      <c r="B97">
        <v>17.48</v>
      </c>
      <c r="C97" s="2">
        <f>Table1[[#This Row],[Ppv(W)]]/Table1[[#This Row],[Vpv(V)]]</f>
        <v>8.9925629290617852</v>
      </c>
      <c r="D97">
        <v>157.19</v>
      </c>
      <c r="E97">
        <v>39.96</v>
      </c>
      <c r="F97">
        <v>3.16</v>
      </c>
      <c r="G97">
        <v>126.46</v>
      </c>
      <c r="H97" s="6">
        <v>58.31</v>
      </c>
      <c r="I97" s="6">
        <f>Table1[[#This Row],[State]]*10</f>
        <v>0</v>
      </c>
      <c r="J97" s="1">
        <v>0</v>
      </c>
      <c r="K97">
        <v>181</v>
      </c>
      <c r="L97" s="3">
        <f t="shared" si="1"/>
        <v>80.450410331446022</v>
      </c>
    </row>
    <row r="98" spans="1:12" x14ac:dyDescent="0.25">
      <c r="A98" s="7">
        <v>97</v>
      </c>
      <c r="B98">
        <v>17.510000000000002</v>
      </c>
      <c r="C98" s="2">
        <f>Table1[[#This Row],[Ppv(W)]]/Table1[[#This Row],[Vpv(V)]]</f>
        <v>8.9263278126784691</v>
      </c>
      <c r="D98">
        <v>156.30000000000001</v>
      </c>
      <c r="E98">
        <v>39.96</v>
      </c>
      <c r="F98">
        <v>3.16</v>
      </c>
      <c r="G98">
        <v>126.35</v>
      </c>
      <c r="H98" s="6">
        <v>59.87</v>
      </c>
      <c r="I98" s="6">
        <f>Table1[[#This Row],[State]]*10</f>
        <v>20</v>
      </c>
      <c r="J98" s="1">
        <v>2</v>
      </c>
      <c r="K98">
        <v>181</v>
      </c>
      <c r="L98" s="3">
        <f t="shared" si="1"/>
        <v>80.838131797824687</v>
      </c>
    </row>
    <row r="99" spans="1:12" x14ac:dyDescent="0.25">
      <c r="A99" s="7">
        <v>98</v>
      </c>
      <c r="B99">
        <v>17.39</v>
      </c>
      <c r="C99" s="2">
        <f>Table1[[#This Row],[Ppv(W)]]/Table1[[#This Row],[Vpv(V)]]</f>
        <v>9.0695802185163892</v>
      </c>
      <c r="D99">
        <v>157.72</v>
      </c>
      <c r="E99">
        <v>39.96</v>
      </c>
      <c r="F99">
        <v>3.17</v>
      </c>
      <c r="G99">
        <v>126.78</v>
      </c>
      <c r="H99" s="6">
        <v>59.87</v>
      </c>
      <c r="I99" s="6">
        <f>Table1[[#This Row],[State]]*10</f>
        <v>10</v>
      </c>
      <c r="J99" s="1">
        <v>1</v>
      </c>
      <c r="K99">
        <v>181</v>
      </c>
      <c r="L99" s="3">
        <f t="shared" si="1"/>
        <v>80.382957139234094</v>
      </c>
    </row>
    <row r="100" spans="1:12" x14ac:dyDescent="0.25">
      <c r="A100" s="7">
        <v>99</v>
      </c>
      <c r="B100">
        <v>17.329999999999998</v>
      </c>
      <c r="C100" s="2">
        <f>Table1[[#This Row],[Ppv(W)]]/Table1[[#This Row],[Vpv(V)]]</f>
        <v>9.160992498557416</v>
      </c>
      <c r="D100">
        <v>158.76</v>
      </c>
      <c r="E100">
        <v>39.96</v>
      </c>
      <c r="F100">
        <v>3.18</v>
      </c>
      <c r="G100">
        <v>127.2</v>
      </c>
      <c r="H100" s="6">
        <v>59.87</v>
      </c>
      <c r="I100" s="6">
        <f>Table1[[#This Row],[State]]*10</f>
        <v>10</v>
      </c>
      <c r="J100" s="1">
        <v>1</v>
      </c>
      <c r="K100">
        <v>181</v>
      </c>
      <c r="L100" s="3">
        <f t="shared" si="1"/>
        <v>80.120937263794417</v>
      </c>
    </row>
    <row r="101" spans="1:12" x14ac:dyDescent="0.25">
      <c r="A101" s="7">
        <v>100</v>
      </c>
      <c r="B101">
        <v>17.23</v>
      </c>
      <c r="C101" s="2">
        <f>Table1[[#This Row],[Ppv(W)]]/Table1[[#This Row],[Vpv(V)]]</f>
        <v>9.3348810214741729</v>
      </c>
      <c r="D101">
        <v>160.84</v>
      </c>
      <c r="E101">
        <v>39.96</v>
      </c>
      <c r="F101">
        <v>3.19</v>
      </c>
      <c r="G101">
        <v>127.51</v>
      </c>
      <c r="H101" s="6">
        <v>59.87</v>
      </c>
      <c r="I101" s="6">
        <f>Table1[[#This Row],[State]]*10</f>
        <v>10</v>
      </c>
      <c r="J101" s="1">
        <v>1</v>
      </c>
      <c r="K101">
        <v>181</v>
      </c>
      <c r="L101" s="3">
        <f t="shared" si="1"/>
        <v>79.277542899776179</v>
      </c>
    </row>
    <row r="102" spans="1:12" x14ac:dyDescent="0.25">
      <c r="A102" s="7">
        <v>101</v>
      </c>
      <c r="B102">
        <v>17.21</v>
      </c>
      <c r="C102" s="2">
        <f>Table1[[#This Row],[Ppv(W)]]/Table1[[#This Row],[Vpv(V)]]</f>
        <v>9.3666472980825084</v>
      </c>
      <c r="D102">
        <v>161.19999999999999</v>
      </c>
      <c r="E102">
        <v>39.96</v>
      </c>
      <c r="F102">
        <v>3.19</v>
      </c>
      <c r="G102">
        <v>127.62</v>
      </c>
      <c r="H102" s="6">
        <v>58.31</v>
      </c>
      <c r="I102" s="6">
        <f>Table1[[#This Row],[State]]*10</f>
        <v>0</v>
      </c>
      <c r="J102" s="1">
        <v>0</v>
      </c>
      <c r="K102">
        <v>191</v>
      </c>
      <c r="L102" s="3">
        <f t="shared" si="1"/>
        <v>79.168734491315135</v>
      </c>
    </row>
    <row r="103" spans="1:12" x14ac:dyDescent="0.25">
      <c r="A103" s="7">
        <v>102</v>
      </c>
      <c r="B103">
        <v>17.29</v>
      </c>
      <c r="C103" s="2">
        <f>Table1[[#This Row],[Ppv(W)]]/Table1[[#This Row],[Vpv(V)]]</f>
        <v>9.2325043377674962</v>
      </c>
      <c r="D103">
        <v>159.63</v>
      </c>
      <c r="E103">
        <v>39.96</v>
      </c>
      <c r="F103">
        <v>3.19</v>
      </c>
      <c r="G103">
        <v>127.3</v>
      </c>
      <c r="H103" s="6">
        <v>59.87</v>
      </c>
      <c r="I103" s="6">
        <f>Table1[[#This Row],[State]]*10</f>
        <v>20</v>
      </c>
      <c r="J103" s="1">
        <v>2</v>
      </c>
      <c r="K103">
        <v>191</v>
      </c>
      <c r="L103" s="3">
        <f t="shared" si="1"/>
        <v>79.746914740337033</v>
      </c>
    </row>
    <row r="104" spans="1:12" x14ac:dyDescent="0.25">
      <c r="A104" s="7">
        <v>103</v>
      </c>
      <c r="B104">
        <v>17.29</v>
      </c>
      <c r="C104" s="2">
        <f>Table1[[#This Row],[Ppv(W)]]/Table1[[#This Row],[Vpv(V)]]</f>
        <v>9.2706766917293226</v>
      </c>
      <c r="D104">
        <v>160.29</v>
      </c>
      <c r="E104">
        <v>39.96</v>
      </c>
      <c r="F104">
        <v>3.19</v>
      </c>
      <c r="G104">
        <v>127.3</v>
      </c>
      <c r="H104" s="6">
        <v>59.87</v>
      </c>
      <c r="I104" s="6">
        <f>Table1[[#This Row],[State]]*10</f>
        <v>10</v>
      </c>
      <c r="J104" s="1">
        <v>1</v>
      </c>
      <c r="K104">
        <v>191</v>
      </c>
      <c r="L104" s="3">
        <f t="shared" si="1"/>
        <v>79.418553871108628</v>
      </c>
    </row>
    <row r="105" spans="1:12" x14ac:dyDescent="0.25">
      <c r="A105" s="7">
        <v>104</v>
      </c>
      <c r="B105">
        <v>17.27</v>
      </c>
      <c r="C105" s="2">
        <f>Table1[[#This Row],[Ppv(W)]]/Table1[[#This Row],[Vpv(V)]]</f>
        <v>9.2281412854661262</v>
      </c>
      <c r="D105">
        <v>159.37</v>
      </c>
      <c r="E105">
        <v>39.96</v>
      </c>
      <c r="F105">
        <v>3.19</v>
      </c>
      <c r="G105">
        <v>127.41</v>
      </c>
      <c r="H105" s="6">
        <v>58.31</v>
      </c>
      <c r="I105" s="6">
        <f>Table1[[#This Row],[State]]*10</f>
        <v>20</v>
      </c>
      <c r="J105" s="1">
        <v>2</v>
      </c>
      <c r="K105">
        <v>191</v>
      </c>
      <c r="L105" s="3">
        <f t="shared" si="1"/>
        <v>79.946037522745812</v>
      </c>
    </row>
    <row r="106" spans="1:12" x14ac:dyDescent="0.25">
      <c r="A106" s="7">
        <v>105</v>
      </c>
      <c r="B106">
        <v>17.32</v>
      </c>
      <c r="C106" s="2">
        <f>Table1[[#This Row],[Ppv(W)]]/Table1[[#This Row],[Vpv(V)]]</f>
        <v>9.1911085450346413</v>
      </c>
      <c r="D106">
        <v>159.19</v>
      </c>
      <c r="E106">
        <v>39.96</v>
      </c>
      <c r="F106">
        <v>3.19</v>
      </c>
      <c r="G106">
        <v>127.3</v>
      </c>
      <c r="H106" s="6">
        <v>56.74</v>
      </c>
      <c r="I106" s="6">
        <f>Table1[[#This Row],[State]]*10</f>
        <v>0</v>
      </c>
      <c r="J106" s="1">
        <v>0</v>
      </c>
      <c r="K106">
        <v>186</v>
      </c>
      <c r="L106" s="3">
        <f t="shared" si="1"/>
        <v>79.967334631572328</v>
      </c>
    </row>
    <row r="107" spans="1:12" x14ac:dyDescent="0.25">
      <c r="A107" s="7">
        <v>106</v>
      </c>
      <c r="B107">
        <v>17.28</v>
      </c>
      <c r="C107" s="2">
        <f>Table1[[#This Row],[Ppv(W)]]/Table1[[#This Row],[Vpv(V)]]</f>
        <v>9.2239583333333321</v>
      </c>
      <c r="D107">
        <v>159.38999999999999</v>
      </c>
      <c r="E107">
        <v>39.96</v>
      </c>
      <c r="F107">
        <v>3.19</v>
      </c>
      <c r="G107">
        <v>127.3</v>
      </c>
      <c r="H107" s="6">
        <v>55.17</v>
      </c>
      <c r="I107" s="6">
        <f>Table1[[#This Row],[State]]*10</f>
        <v>0</v>
      </c>
      <c r="J107" s="1">
        <v>0</v>
      </c>
      <c r="K107">
        <v>181</v>
      </c>
      <c r="L107" s="3">
        <f t="shared" si="1"/>
        <v>79.866992910471183</v>
      </c>
    </row>
    <row r="108" spans="1:12" x14ac:dyDescent="0.25">
      <c r="A108" s="7">
        <v>107</v>
      </c>
      <c r="B108">
        <v>17.37</v>
      </c>
      <c r="C108" s="2">
        <f>Table1[[#This Row],[Ppv(W)]]/Table1[[#This Row],[Vpv(V)]]</f>
        <v>9.0472078295912493</v>
      </c>
      <c r="D108">
        <v>157.15</v>
      </c>
      <c r="E108">
        <v>39.96</v>
      </c>
      <c r="F108">
        <v>3.17</v>
      </c>
      <c r="G108">
        <v>126.67</v>
      </c>
      <c r="H108" s="6">
        <v>56.74</v>
      </c>
      <c r="I108" s="6">
        <f>Table1[[#This Row],[State]]*10</f>
        <v>20</v>
      </c>
      <c r="J108" s="1">
        <v>2</v>
      </c>
      <c r="K108">
        <v>181</v>
      </c>
      <c r="L108" s="3">
        <f t="shared" si="1"/>
        <v>80.604517976455611</v>
      </c>
    </row>
    <row r="109" spans="1:12" x14ac:dyDescent="0.25">
      <c r="A109" s="7">
        <v>108</v>
      </c>
      <c r="B109">
        <v>17.47</v>
      </c>
      <c r="C109" s="2">
        <f>Table1[[#This Row],[Ppv(W)]]/Table1[[#This Row],[Vpv(V)]]</f>
        <v>8.8826559816828858</v>
      </c>
      <c r="D109">
        <v>155.18</v>
      </c>
      <c r="E109">
        <v>39.96</v>
      </c>
      <c r="F109">
        <v>3.16</v>
      </c>
      <c r="G109">
        <v>126.14</v>
      </c>
      <c r="H109" s="6">
        <v>58.31</v>
      </c>
      <c r="I109" s="6">
        <f>Table1[[#This Row],[State]]*10</f>
        <v>20</v>
      </c>
      <c r="J109" s="1">
        <v>2</v>
      </c>
      <c r="K109">
        <v>181</v>
      </c>
      <c r="L109" s="3">
        <f t="shared" si="1"/>
        <v>81.286248227864405</v>
      </c>
    </row>
    <row r="110" spans="1:12" x14ac:dyDescent="0.25">
      <c r="A110" s="7">
        <v>109</v>
      </c>
      <c r="B110">
        <v>17.43</v>
      </c>
      <c r="C110" s="2">
        <f>Table1[[#This Row],[Ppv(W)]]/Table1[[#This Row],[Vpv(V)]]</f>
        <v>8.8525530694205408</v>
      </c>
      <c r="D110">
        <v>154.30000000000001</v>
      </c>
      <c r="E110">
        <v>39.96</v>
      </c>
      <c r="F110">
        <v>3.16</v>
      </c>
      <c r="G110">
        <v>126.14</v>
      </c>
      <c r="H110" s="6">
        <v>59.87</v>
      </c>
      <c r="I110" s="6">
        <f>Table1[[#This Row],[State]]*10</f>
        <v>20</v>
      </c>
      <c r="J110" s="1">
        <v>2</v>
      </c>
      <c r="K110">
        <v>181</v>
      </c>
      <c r="L110" s="3">
        <f t="shared" si="1"/>
        <v>81.749837977965001</v>
      </c>
    </row>
    <row r="111" spans="1:12" x14ac:dyDescent="0.25">
      <c r="A111" s="7">
        <v>110</v>
      </c>
      <c r="B111">
        <v>17.38</v>
      </c>
      <c r="C111" s="2">
        <f>Table1[[#This Row],[Ppv(W)]]/Table1[[#This Row],[Vpv(V)]]</f>
        <v>8.9706559263521299</v>
      </c>
      <c r="D111">
        <v>155.91</v>
      </c>
      <c r="E111">
        <v>39.96</v>
      </c>
      <c r="F111">
        <v>3.16</v>
      </c>
      <c r="G111">
        <v>126.35</v>
      </c>
      <c r="H111" s="6">
        <v>59.87</v>
      </c>
      <c r="I111" s="6">
        <f>Table1[[#This Row],[State]]*10</f>
        <v>10</v>
      </c>
      <c r="J111" s="1">
        <v>1</v>
      </c>
      <c r="K111">
        <v>181</v>
      </c>
      <c r="L111" s="3">
        <f t="shared" si="1"/>
        <v>81.040343788082865</v>
      </c>
    </row>
    <row r="112" spans="1:12" x14ac:dyDescent="0.25">
      <c r="A112" s="7">
        <v>111</v>
      </c>
      <c r="B112">
        <v>17.29</v>
      </c>
      <c r="C112" s="2">
        <f>Table1[[#This Row],[Ppv(W)]]/Table1[[#This Row],[Vpv(V)]]</f>
        <v>9.2625795257374204</v>
      </c>
      <c r="D112">
        <v>160.15</v>
      </c>
      <c r="E112">
        <v>39.96</v>
      </c>
      <c r="F112">
        <v>3.18</v>
      </c>
      <c r="G112">
        <v>127.09</v>
      </c>
      <c r="H112" s="6">
        <v>59.87</v>
      </c>
      <c r="I112" s="6">
        <f>Table1[[#This Row],[State]]*10</f>
        <v>10</v>
      </c>
      <c r="J112" s="1">
        <v>1</v>
      </c>
      <c r="K112">
        <v>181</v>
      </c>
      <c r="L112" s="3">
        <f t="shared" si="1"/>
        <v>79.356852950359041</v>
      </c>
    </row>
    <row r="113" spans="1:12" x14ac:dyDescent="0.25">
      <c r="A113" s="7">
        <v>112</v>
      </c>
      <c r="B113">
        <v>17.28</v>
      </c>
      <c r="C113" s="2">
        <f>Table1[[#This Row],[Ppv(W)]]/Table1[[#This Row],[Vpv(V)]]</f>
        <v>9.4201388888888875</v>
      </c>
      <c r="D113">
        <v>162.78</v>
      </c>
      <c r="E113">
        <v>39.96</v>
      </c>
      <c r="F113">
        <v>3.19</v>
      </c>
      <c r="G113">
        <v>127.51</v>
      </c>
      <c r="H113" s="6">
        <v>58.31</v>
      </c>
      <c r="I113" s="6">
        <f>Table1[[#This Row],[State]]*10</f>
        <v>10</v>
      </c>
      <c r="J113" s="1">
        <v>1</v>
      </c>
      <c r="K113">
        <v>181</v>
      </c>
      <c r="L113" s="3">
        <f t="shared" si="1"/>
        <v>78.332719007249054</v>
      </c>
    </row>
    <row r="114" spans="1:12" x14ac:dyDescent="0.25">
      <c r="A114" s="7">
        <v>113</v>
      </c>
      <c r="B114">
        <v>17.309999999999999</v>
      </c>
      <c r="C114" s="2">
        <f>Table1[[#This Row],[Ppv(W)]]/Table1[[#This Row],[Vpv(V)]]</f>
        <v>9.433275563258233</v>
      </c>
      <c r="D114">
        <v>163.29</v>
      </c>
      <c r="E114">
        <v>39.96</v>
      </c>
      <c r="F114">
        <v>3.19</v>
      </c>
      <c r="G114">
        <v>127.51</v>
      </c>
      <c r="H114" s="6">
        <v>56.74</v>
      </c>
      <c r="I114" s="6">
        <f>Table1[[#This Row],[State]]*10</f>
        <v>10</v>
      </c>
      <c r="J114" s="1">
        <v>1</v>
      </c>
      <c r="K114">
        <v>181</v>
      </c>
      <c r="L114" s="3">
        <f t="shared" si="1"/>
        <v>78.088064180292733</v>
      </c>
    </row>
    <row r="115" spans="1:12" x14ac:dyDescent="0.25">
      <c r="A115" s="7">
        <v>114</v>
      </c>
      <c r="B115">
        <v>17.38</v>
      </c>
      <c r="C115" s="2">
        <f>Table1[[#This Row],[Ppv(W)]]/Table1[[#This Row],[Vpv(V)]]</f>
        <v>9.1260069044879177</v>
      </c>
      <c r="D115">
        <v>158.61000000000001</v>
      </c>
      <c r="E115">
        <v>39.96</v>
      </c>
      <c r="F115">
        <v>3.18</v>
      </c>
      <c r="G115">
        <v>126.88</v>
      </c>
      <c r="H115" s="6">
        <v>58.31</v>
      </c>
      <c r="I115" s="6">
        <f>Table1[[#This Row],[State]]*10</f>
        <v>20</v>
      </c>
      <c r="J115" s="1">
        <v>2</v>
      </c>
      <c r="K115">
        <v>181</v>
      </c>
      <c r="L115" s="3">
        <f t="shared" si="1"/>
        <v>79.994956181829636</v>
      </c>
    </row>
    <row r="116" spans="1:12" x14ac:dyDescent="0.25">
      <c r="A116" s="7">
        <v>115</v>
      </c>
      <c r="B116">
        <v>17.420000000000002</v>
      </c>
      <c r="C116" s="2">
        <f>Table1[[#This Row],[Ppv(W)]]/Table1[[#This Row],[Vpv(V)]]</f>
        <v>8.9695752009184844</v>
      </c>
      <c r="D116">
        <v>156.25</v>
      </c>
      <c r="E116">
        <v>39.96</v>
      </c>
      <c r="F116">
        <v>3.17</v>
      </c>
      <c r="G116">
        <v>126.67</v>
      </c>
      <c r="H116" s="6">
        <v>59.87</v>
      </c>
      <c r="I116" s="6">
        <f>Table1[[#This Row],[State]]*10</f>
        <v>20</v>
      </c>
      <c r="J116" s="1">
        <v>2</v>
      </c>
      <c r="K116">
        <v>181</v>
      </c>
      <c r="L116" s="3">
        <f t="shared" si="1"/>
        <v>81.068799999999996</v>
      </c>
    </row>
    <row r="117" spans="1:12" x14ac:dyDescent="0.25">
      <c r="A117" s="7">
        <v>116</v>
      </c>
      <c r="B117">
        <v>17.37</v>
      </c>
      <c r="C117" s="2">
        <f>Table1[[#This Row],[Ppv(W)]]/Table1[[#This Row],[Vpv(V)]]</f>
        <v>9.0564191134139325</v>
      </c>
      <c r="D117">
        <v>157.31</v>
      </c>
      <c r="E117">
        <v>39.96</v>
      </c>
      <c r="F117">
        <v>3.17</v>
      </c>
      <c r="G117">
        <v>126.67</v>
      </c>
      <c r="H117" s="6">
        <v>59.87</v>
      </c>
      <c r="I117" s="6">
        <f>Table1[[#This Row],[State]]*10</f>
        <v>10</v>
      </c>
      <c r="J117" s="1">
        <v>1</v>
      </c>
      <c r="K117">
        <v>181</v>
      </c>
      <c r="L117" s="3">
        <f t="shared" si="1"/>
        <v>80.522535121734151</v>
      </c>
    </row>
    <row r="118" spans="1:12" x14ac:dyDescent="0.25">
      <c r="A118" s="7">
        <v>117</v>
      </c>
      <c r="B118">
        <v>17.36</v>
      </c>
      <c r="C118" s="2">
        <f>Table1[[#This Row],[Ppv(W)]]/Table1[[#This Row],[Vpv(V)]]</f>
        <v>9.1296082949308772</v>
      </c>
      <c r="D118">
        <v>158.49</v>
      </c>
      <c r="E118">
        <v>39.96</v>
      </c>
      <c r="F118">
        <v>3.17</v>
      </c>
      <c r="G118">
        <v>126.78</v>
      </c>
      <c r="H118" s="6">
        <v>58.31</v>
      </c>
      <c r="I118" s="6">
        <f>Table1[[#This Row],[State]]*10</f>
        <v>10</v>
      </c>
      <c r="J118" s="1">
        <v>1</v>
      </c>
      <c r="K118">
        <v>181</v>
      </c>
      <c r="L118" s="3">
        <f t="shared" si="1"/>
        <v>79.99242854438765</v>
      </c>
    </row>
    <row r="119" spans="1:12" x14ac:dyDescent="0.25">
      <c r="A119" s="7">
        <v>118</v>
      </c>
      <c r="B119">
        <v>17.37</v>
      </c>
      <c r="C119" s="2">
        <f>Table1[[#This Row],[Ppv(W)]]/Table1[[#This Row],[Vpv(V)]]</f>
        <v>9.1922855497985019</v>
      </c>
      <c r="D119">
        <v>159.66999999999999</v>
      </c>
      <c r="E119">
        <v>39.96</v>
      </c>
      <c r="F119">
        <v>3.18</v>
      </c>
      <c r="G119">
        <v>127.09</v>
      </c>
      <c r="H119" s="6">
        <v>56.74</v>
      </c>
      <c r="I119" s="6">
        <f>Table1[[#This Row],[State]]*10</f>
        <v>10</v>
      </c>
      <c r="J119" s="1">
        <v>1</v>
      </c>
      <c r="K119">
        <v>181</v>
      </c>
      <c r="L119" s="3">
        <f t="shared" si="1"/>
        <v>79.595415544560666</v>
      </c>
    </row>
    <row r="120" spans="1:12" x14ac:dyDescent="0.25">
      <c r="A120" s="7">
        <v>119</v>
      </c>
      <c r="B120">
        <v>17.38</v>
      </c>
      <c r="C120" s="2">
        <f>Table1[[#This Row],[Ppv(W)]]/Table1[[#This Row],[Vpv(V)]]</f>
        <v>9.1352128883774473</v>
      </c>
      <c r="D120">
        <v>158.77000000000001</v>
      </c>
      <c r="E120">
        <v>39.96</v>
      </c>
      <c r="F120">
        <v>3.18</v>
      </c>
      <c r="G120">
        <v>126.99</v>
      </c>
      <c r="H120" s="6">
        <v>55.17</v>
      </c>
      <c r="I120" s="6">
        <f>Table1[[#This Row],[State]]*10</f>
        <v>20</v>
      </c>
      <c r="J120" s="1">
        <v>2</v>
      </c>
      <c r="K120">
        <v>181</v>
      </c>
      <c r="L120" s="3">
        <f t="shared" si="1"/>
        <v>79.983624110348302</v>
      </c>
    </row>
    <row r="121" spans="1:12" x14ac:dyDescent="0.25">
      <c r="A121" s="7">
        <v>120</v>
      </c>
      <c r="B121">
        <v>17.41</v>
      </c>
      <c r="C121" s="2">
        <f>Table1[[#This Row],[Ppv(W)]]/Table1[[#This Row],[Vpv(V)]]</f>
        <v>8.9626651349798969</v>
      </c>
      <c r="D121">
        <v>156.04</v>
      </c>
      <c r="E121">
        <v>39.96</v>
      </c>
      <c r="F121">
        <v>3.17</v>
      </c>
      <c r="G121">
        <v>126.57</v>
      </c>
      <c r="H121" s="6">
        <v>53.61</v>
      </c>
      <c r="I121" s="6">
        <f>Table1[[#This Row],[State]]*10</f>
        <v>20</v>
      </c>
      <c r="J121" s="1">
        <v>2</v>
      </c>
      <c r="K121">
        <v>181</v>
      </c>
      <c r="L121" s="3">
        <f t="shared" si="1"/>
        <v>81.11381697000769</v>
      </c>
    </row>
    <row r="122" spans="1:12" x14ac:dyDescent="0.25">
      <c r="A122" s="7">
        <v>121</v>
      </c>
      <c r="B122">
        <v>17.52</v>
      </c>
      <c r="C122" s="2">
        <f>Table1[[#This Row],[Ppv(W)]]/Table1[[#This Row],[Vpv(V)]]</f>
        <v>8.5759132420091326</v>
      </c>
      <c r="D122">
        <v>150.25</v>
      </c>
      <c r="E122">
        <v>39.96</v>
      </c>
      <c r="F122">
        <v>3.14</v>
      </c>
      <c r="G122">
        <v>125.51</v>
      </c>
      <c r="H122" s="6">
        <v>55.17</v>
      </c>
      <c r="I122" s="6">
        <f>Table1[[#This Row],[State]]*10</f>
        <v>20</v>
      </c>
      <c r="J122" s="1">
        <v>2</v>
      </c>
      <c r="K122">
        <v>181</v>
      </c>
      <c r="L122" s="3">
        <f t="shared" si="1"/>
        <v>83.534109816971707</v>
      </c>
    </row>
    <row r="123" spans="1:12" x14ac:dyDescent="0.25">
      <c r="A123" s="7">
        <v>122</v>
      </c>
      <c r="B123">
        <v>17.59</v>
      </c>
      <c r="C123" s="2">
        <f>Table1[[#This Row],[Ppv(W)]]/Table1[[#This Row],[Vpv(V)]]</f>
        <v>8.489482660602615</v>
      </c>
      <c r="D123">
        <v>149.33000000000001</v>
      </c>
      <c r="E123">
        <v>39.96</v>
      </c>
      <c r="F123">
        <v>3.13</v>
      </c>
      <c r="G123">
        <v>125.19</v>
      </c>
      <c r="H123" s="6">
        <v>56.74</v>
      </c>
      <c r="I123" s="6">
        <f>Table1[[#This Row],[State]]*10</f>
        <v>20</v>
      </c>
      <c r="J123" s="1">
        <v>2</v>
      </c>
      <c r="K123">
        <v>181</v>
      </c>
      <c r="L123" s="3">
        <f t="shared" si="1"/>
        <v>83.834460590638173</v>
      </c>
    </row>
    <row r="124" spans="1:12" x14ac:dyDescent="0.25">
      <c r="A124" s="7">
        <v>123</v>
      </c>
      <c r="B124">
        <v>17.63</v>
      </c>
      <c r="C124" s="2">
        <f>Table1[[#This Row],[Ppv(W)]]/Table1[[#This Row],[Vpv(V)]]</f>
        <v>8.3613159387407823</v>
      </c>
      <c r="D124">
        <v>147.41</v>
      </c>
      <c r="E124">
        <v>39.96</v>
      </c>
      <c r="F124">
        <v>3.12</v>
      </c>
      <c r="G124">
        <v>124.88</v>
      </c>
      <c r="H124" s="6">
        <v>58.31</v>
      </c>
      <c r="I124" s="6">
        <f>Table1[[#This Row],[State]]*10</f>
        <v>20</v>
      </c>
      <c r="J124" s="1">
        <v>2</v>
      </c>
      <c r="K124">
        <v>181</v>
      </c>
      <c r="L124" s="3">
        <f t="shared" si="1"/>
        <v>84.716097958076105</v>
      </c>
    </row>
    <row r="125" spans="1:12" x14ac:dyDescent="0.25">
      <c r="A125" s="7">
        <v>124</v>
      </c>
      <c r="B125">
        <v>17.600000000000001</v>
      </c>
      <c r="C125" s="2">
        <f>Table1[[#This Row],[Ppv(W)]]/Table1[[#This Row],[Vpv(V)]]</f>
        <v>8.4130681818181809</v>
      </c>
      <c r="D125">
        <v>148.07</v>
      </c>
      <c r="E125">
        <v>39.96</v>
      </c>
      <c r="F125">
        <v>3.13</v>
      </c>
      <c r="G125">
        <v>125.09</v>
      </c>
      <c r="H125" s="6">
        <v>59.87</v>
      </c>
      <c r="I125" s="6">
        <f>Table1[[#This Row],[State]]*10</f>
        <v>10</v>
      </c>
      <c r="J125" s="1">
        <v>1</v>
      </c>
      <c r="K125">
        <v>181</v>
      </c>
      <c r="L125" s="3">
        <f t="shared" si="1"/>
        <v>84.480313365300191</v>
      </c>
    </row>
    <row r="126" spans="1:12" x14ac:dyDescent="0.25">
      <c r="A126" s="7">
        <v>125</v>
      </c>
      <c r="B126">
        <v>17.38</v>
      </c>
      <c r="C126" s="2">
        <f>Table1[[#This Row],[Ppv(W)]]/Table1[[#This Row],[Vpv(V)]]</f>
        <v>8.8722669735327955</v>
      </c>
      <c r="D126">
        <v>154.19999999999999</v>
      </c>
      <c r="E126">
        <v>39.96</v>
      </c>
      <c r="F126">
        <v>3.16</v>
      </c>
      <c r="G126">
        <v>126.25</v>
      </c>
      <c r="H126" s="6">
        <v>59.87</v>
      </c>
      <c r="I126" s="6">
        <f>Table1[[#This Row],[State]]*10</f>
        <v>10</v>
      </c>
      <c r="J126" s="1">
        <v>1</v>
      </c>
      <c r="K126">
        <v>181</v>
      </c>
      <c r="L126" s="3">
        <f t="shared" si="1"/>
        <v>81.874189364461742</v>
      </c>
    </row>
    <row r="127" spans="1:12" x14ac:dyDescent="0.25">
      <c r="A127" s="7">
        <v>126</v>
      </c>
      <c r="B127">
        <v>17.309999999999999</v>
      </c>
      <c r="C127" s="2">
        <f>Table1[[#This Row],[Ppv(W)]]/Table1[[#This Row],[Vpv(V)]]</f>
        <v>9.0953206239168125</v>
      </c>
      <c r="D127">
        <v>157.44</v>
      </c>
      <c r="E127">
        <v>39.96</v>
      </c>
      <c r="F127">
        <v>3.17</v>
      </c>
      <c r="G127">
        <v>126.78</v>
      </c>
      <c r="H127" s="6">
        <v>59.87</v>
      </c>
      <c r="I127" s="6">
        <f>Table1[[#This Row],[State]]*10</f>
        <v>10</v>
      </c>
      <c r="J127" s="1">
        <v>1</v>
      </c>
      <c r="K127">
        <v>181</v>
      </c>
      <c r="L127" s="3">
        <f t="shared" si="1"/>
        <v>80.525914634146346</v>
      </c>
    </row>
    <row r="128" spans="1:12" x14ac:dyDescent="0.25">
      <c r="A128" s="7">
        <v>127</v>
      </c>
      <c r="B128">
        <v>17.22</v>
      </c>
      <c r="C128" s="2">
        <f>Table1[[#This Row],[Ppv(W)]]/Table1[[#This Row],[Vpv(V)]]</f>
        <v>9.3159117305458761</v>
      </c>
      <c r="D128">
        <v>160.41999999999999</v>
      </c>
      <c r="E128">
        <v>39.96</v>
      </c>
      <c r="F128">
        <v>3.18</v>
      </c>
      <c r="G128">
        <v>127.2</v>
      </c>
      <c r="H128" s="6">
        <v>59.87</v>
      </c>
      <c r="I128" s="6">
        <f>Table1[[#This Row],[State]]*10</f>
        <v>10</v>
      </c>
      <c r="J128" s="1">
        <v>1</v>
      </c>
      <c r="K128">
        <v>181</v>
      </c>
      <c r="L128" s="3">
        <f t="shared" si="1"/>
        <v>79.291858870465035</v>
      </c>
    </row>
    <row r="129" spans="1:12" x14ac:dyDescent="0.25">
      <c r="A129" s="7">
        <v>128</v>
      </c>
      <c r="B129">
        <v>17.16</v>
      </c>
      <c r="C129" s="2">
        <f>Table1[[#This Row],[Ppv(W)]]/Table1[[#This Row],[Vpv(V)]]</f>
        <v>9.4720279720279716</v>
      </c>
      <c r="D129">
        <v>162.54</v>
      </c>
      <c r="E129">
        <v>39.96</v>
      </c>
      <c r="F129">
        <v>3.19</v>
      </c>
      <c r="G129">
        <v>127.62</v>
      </c>
      <c r="H129" s="6">
        <v>59.87</v>
      </c>
      <c r="I129" s="6">
        <f>Table1[[#This Row],[State]]*10</f>
        <v>10</v>
      </c>
      <c r="J129" s="1">
        <v>1</v>
      </c>
      <c r="K129">
        <v>181</v>
      </c>
      <c r="L129" s="3">
        <f t="shared" si="1"/>
        <v>78.516057585825038</v>
      </c>
    </row>
    <row r="130" spans="1:12" x14ac:dyDescent="0.25">
      <c r="A130" s="7">
        <v>129</v>
      </c>
      <c r="B130">
        <v>17.190000000000001</v>
      </c>
      <c r="C130" s="2">
        <f>Table1[[#This Row],[Ppv(W)]]/Table1[[#This Row],[Vpv(V)]]</f>
        <v>9.4729493891797549</v>
      </c>
      <c r="D130">
        <v>162.84</v>
      </c>
      <c r="E130">
        <v>39.96</v>
      </c>
      <c r="F130">
        <v>3.19</v>
      </c>
      <c r="G130">
        <v>127.62</v>
      </c>
      <c r="H130" s="6">
        <v>58.31</v>
      </c>
      <c r="I130" s="6">
        <f>Table1[[#This Row],[State]]*10</f>
        <v>0</v>
      </c>
      <c r="J130" s="1">
        <v>0</v>
      </c>
      <c r="K130">
        <v>191</v>
      </c>
      <c r="L130" s="3">
        <f t="shared" si="1"/>
        <v>78.371407516580689</v>
      </c>
    </row>
    <row r="131" spans="1:12" x14ac:dyDescent="0.25">
      <c r="A131" s="7">
        <v>130</v>
      </c>
      <c r="B131">
        <v>17.21</v>
      </c>
      <c r="C131" s="2">
        <f>Table1[[#This Row],[Ppv(W)]]/Table1[[#This Row],[Vpv(V)]]</f>
        <v>9.324230098779779</v>
      </c>
      <c r="D131">
        <v>160.47</v>
      </c>
      <c r="E131">
        <v>39.96</v>
      </c>
      <c r="F131">
        <v>3.19</v>
      </c>
      <c r="G131">
        <v>127.3</v>
      </c>
      <c r="H131" s="6">
        <v>56.74</v>
      </c>
      <c r="I131" s="6">
        <f>Table1[[#This Row],[State]]*10</f>
        <v>20</v>
      </c>
      <c r="J131" s="1">
        <v>2</v>
      </c>
      <c r="K131">
        <v>191</v>
      </c>
      <c r="L131" s="3">
        <f t="shared" ref="L131:L175" si="2">(G131/D131)*100</f>
        <v>79.329469682806746</v>
      </c>
    </row>
    <row r="132" spans="1:12" x14ac:dyDescent="0.25">
      <c r="A132" s="7">
        <v>131</v>
      </c>
      <c r="B132">
        <v>17.28</v>
      </c>
      <c r="C132" s="2">
        <f>Table1[[#This Row],[Ppv(W)]]/Table1[[#This Row],[Vpv(V)]]</f>
        <v>9.1307870370370363</v>
      </c>
      <c r="D132">
        <v>157.78</v>
      </c>
      <c r="E132">
        <v>39.96</v>
      </c>
      <c r="F132">
        <v>3.18</v>
      </c>
      <c r="G132">
        <v>126.99</v>
      </c>
      <c r="H132" s="6">
        <v>58.31</v>
      </c>
      <c r="I132" s="6">
        <f>Table1[[#This Row],[State]]*10</f>
        <v>20</v>
      </c>
      <c r="J132" s="1">
        <v>2</v>
      </c>
      <c r="K132">
        <v>191</v>
      </c>
      <c r="L132" s="3">
        <f t="shared" si="2"/>
        <v>80.485486119913801</v>
      </c>
    </row>
    <row r="133" spans="1:12" x14ac:dyDescent="0.25">
      <c r="A133" s="7">
        <v>132</v>
      </c>
      <c r="B133">
        <v>17.34</v>
      </c>
      <c r="C133" s="2">
        <f>Table1[[#This Row],[Ppv(W)]]/Table1[[#This Row],[Vpv(V)]]</f>
        <v>9.1147635524798165</v>
      </c>
      <c r="D133">
        <v>158.05000000000001</v>
      </c>
      <c r="E133">
        <v>39.96</v>
      </c>
      <c r="F133">
        <v>3.17</v>
      </c>
      <c r="G133">
        <v>126.78</v>
      </c>
      <c r="H133" s="6">
        <v>59.87</v>
      </c>
      <c r="I133" s="6">
        <f>Table1[[#This Row],[State]]*10</f>
        <v>0</v>
      </c>
      <c r="J133" s="1">
        <v>0</v>
      </c>
      <c r="K133">
        <v>186</v>
      </c>
      <c r="L133" s="3">
        <f t="shared" si="2"/>
        <v>80.215121796899709</v>
      </c>
    </row>
    <row r="134" spans="1:12" x14ac:dyDescent="0.25">
      <c r="A134" s="7">
        <v>133</v>
      </c>
      <c r="B134">
        <v>17.37</v>
      </c>
      <c r="C134" s="2">
        <f>Table1[[#This Row],[Ppv(W)]]/Table1[[#This Row],[Vpv(V)]]</f>
        <v>9.1036269430051799</v>
      </c>
      <c r="D134">
        <v>158.13</v>
      </c>
      <c r="E134">
        <v>39.96</v>
      </c>
      <c r="F134">
        <v>3.18</v>
      </c>
      <c r="G134">
        <v>126.88</v>
      </c>
      <c r="H134" s="6">
        <v>59.87</v>
      </c>
      <c r="I134" s="6">
        <f>Table1[[#This Row],[State]]*10</f>
        <v>0</v>
      </c>
      <c r="J134" s="1">
        <v>0</v>
      </c>
      <c r="K134">
        <v>191</v>
      </c>
      <c r="L134" s="3">
        <f t="shared" si="2"/>
        <v>80.237779042559922</v>
      </c>
    </row>
    <row r="135" spans="1:12" x14ac:dyDescent="0.25">
      <c r="A135" s="7">
        <v>134</v>
      </c>
      <c r="B135">
        <v>17.350000000000001</v>
      </c>
      <c r="C135" s="2">
        <f>Table1[[#This Row],[Ppv(W)]]/Table1[[#This Row],[Vpv(V)]]</f>
        <v>9.1930835734870318</v>
      </c>
      <c r="D135">
        <v>159.5</v>
      </c>
      <c r="E135">
        <v>39.96</v>
      </c>
      <c r="F135">
        <v>3.18</v>
      </c>
      <c r="G135">
        <v>127.09</v>
      </c>
      <c r="H135" s="6">
        <v>58.31</v>
      </c>
      <c r="I135" s="6">
        <f>Table1[[#This Row],[State]]*10</f>
        <v>10</v>
      </c>
      <c r="J135" s="1">
        <v>1</v>
      </c>
      <c r="K135">
        <v>191</v>
      </c>
      <c r="L135" s="3">
        <f t="shared" si="2"/>
        <v>79.680250783699051</v>
      </c>
    </row>
    <row r="136" spans="1:12" x14ac:dyDescent="0.25">
      <c r="A136" s="7">
        <v>135</v>
      </c>
      <c r="B136">
        <v>17.37</v>
      </c>
      <c r="C136" s="2">
        <f>Table1[[#This Row],[Ppv(W)]]/Table1[[#This Row],[Vpv(V)]]</f>
        <v>9.1882556131260777</v>
      </c>
      <c r="D136">
        <v>159.6</v>
      </c>
      <c r="E136">
        <v>39.96</v>
      </c>
      <c r="F136">
        <v>3.18</v>
      </c>
      <c r="G136">
        <v>127.2</v>
      </c>
      <c r="H136" s="6">
        <v>56.74</v>
      </c>
      <c r="I136" s="6">
        <f>Table1[[#This Row],[State]]*10</f>
        <v>0</v>
      </c>
      <c r="J136" s="1">
        <v>0</v>
      </c>
      <c r="K136">
        <v>186</v>
      </c>
      <c r="L136" s="3">
        <f t="shared" si="2"/>
        <v>79.699248120300751</v>
      </c>
    </row>
    <row r="137" spans="1:12" x14ac:dyDescent="0.25">
      <c r="A137" s="7">
        <v>136</v>
      </c>
      <c r="B137">
        <v>17.36</v>
      </c>
      <c r="C137" s="2">
        <f>Table1[[#This Row],[Ppv(W)]]/Table1[[#This Row],[Vpv(V)]]</f>
        <v>9.1261520737327189</v>
      </c>
      <c r="D137">
        <v>158.43</v>
      </c>
      <c r="E137">
        <v>39.96</v>
      </c>
      <c r="F137">
        <v>3.18</v>
      </c>
      <c r="G137">
        <v>127.09</v>
      </c>
      <c r="H137" s="6">
        <v>55.17</v>
      </c>
      <c r="I137" s="6">
        <f>Table1[[#This Row],[State]]*10</f>
        <v>20</v>
      </c>
      <c r="J137" s="1">
        <v>2</v>
      </c>
      <c r="K137">
        <v>186</v>
      </c>
      <c r="L137" s="3">
        <f t="shared" si="2"/>
        <v>80.218392981127309</v>
      </c>
    </row>
    <row r="138" spans="1:12" x14ac:dyDescent="0.25">
      <c r="A138" s="7">
        <v>137</v>
      </c>
      <c r="B138">
        <v>17.41</v>
      </c>
      <c r="C138" s="2">
        <f>Table1[[#This Row],[Ppv(W)]]/Table1[[#This Row],[Vpv(V)]]</f>
        <v>8.9006318207926487</v>
      </c>
      <c r="D138">
        <v>154.96</v>
      </c>
      <c r="E138">
        <v>39.96</v>
      </c>
      <c r="F138">
        <v>3.16</v>
      </c>
      <c r="G138">
        <v>126.35</v>
      </c>
      <c r="H138" s="6">
        <v>56.74</v>
      </c>
      <c r="I138" s="6">
        <f>Table1[[#This Row],[State]]*10</f>
        <v>20</v>
      </c>
      <c r="J138" s="1">
        <v>2</v>
      </c>
      <c r="K138">
        <v>186</v>
      </c>
      <c r="L138" s="3">
        <f t="shared" si="2"/>
        <v>81.537170882808468</v>
      </c>
    </row>
    <row r="139" spans="1:12" x14ac:dyDescent="0.25">
      <c r="A139" s="7">
        <v>138</v>
      </c>
      <c r="B139">
        <v>17.489999999999998</v>
      </c>
      <c r="C139" s="2">
        <f>Table1[[#This Row],[Ppv(W)]]/Table1[[#This Row],[Vpv(V)]]</f>
        <v>8.7913093196112069</v>
      </c>
      <c r="D139">
        <v>153.76</v>
      </c>
      <c r="E139">
        <v>39.96</v>
      </c>
      <c r="F139">
        <v>3.15</v>
      </c>
      <c r="G139">
        <v>126.04</v>
      </c>
      <c r="H139" s="6">
        <v>58.31</v>
      </c>
      <c r="I139" s="6">
        <f>Table1[[#This Row],[State]]*10</f>
        <v>20</v>
      </c>
      <c r="J139" s="1">
        <v>2</v>
      </c>
      <c r="K139">
        <v>186</v>
      </c>
      <c r="L139" s="3">
        <f t="shared" si="2"/>
        <v>81.971904266389188</v>
      </c>
    </row>
    <row r="140" spans="1:12" x14ac:dyDescent="0.25">
      <c r="A140" s="7">
        <v>139</v>
      </c>
      <c r="B140">
        <v>17.489999999999998</v>
      </c>
      <c r="C140" s="2">
        <f>Table1[[#This Row],[Ppv(W)]]/Table1[[#This Row],[Vpv(V)]]</f>
        <v>8.8633504859919974</v>
      </c>
      <c r="D140">
        <v>155.02000000000001</v>
      </c>
      <c r="E140">
        <v>39.96</v>
      </c>
      <c r="F140">
        <v>3.16</v>
      </c>
      <c r="G140">
        <v>126.14</v>
      </c>
      <c r="H140" s="6">
        <v>59.87</v>
      </c>
      <c r="I140" s="6">
        <f>Table1[[#This Row],[State]]*10</f>
        <v>10</v>
      </c>
      <c r="J140" s="1">
        <v>1</v>
      </c>
      <c r="K140">
        <v>186</v>
      </c>
      <c r="L140" s="3">
        <f t="shared" si="2"/>
        <v>81.370145787640297</v>
      </c>
    </row>
    <row r="141" spans="1:12" x14ac:dyDescent="0.25">
      <c r="A141" s="7">
        <v>140</v>
      </c>
      <c r="B141">
        <v>17.47</v>
      </c>
      <c r="C141" s="2">
        <f>Table1[[#This Row],[Ppv(W)]]/Table1[[#This Row],[Vpv(V)]]</f>
        <v>8.9284487693188321</v>
      </c>
      <c r="D141">
        <v>155.97999999999999</v>
      </c>
      <c r="E141">
        <v>39.96</v>
      </c>
      <c r="F141">
        <v>3.17</v>
      </c>
      <c r="G141">
        <v>126.67</v>
      </c>
      <c r="H141" s="6">
        <v>59.87</v>
      </c>
      <c r="I141" s="6">
        <f>Table1[[#This Row],[State]]*10</f>
        <v>10</v>
      </c>
      <c r="J141" s="1">
        <v>1</v>
      </c>
      <c r="K141">
        <v>186</v>
      </c>
      <c r="L141" s="3">
        <f t="shared" si="2"/>
        <v>81.209129375560977</v>
      </c>
    </row>
    <row r="142" spans="1:12" x14ac:dyDescent="0.25">
      <c r="A142" s="7">
        <v>141</v>
      </c>
      <c r="B142">
        <v>17.420000000000002</v>
      </c>
      <c r="C142" s="2">
        <f>Table1[[#This Row],[Ppv(W)]]/Table1[[#This Row],[Vpv(V)]]</f>
        <v>9.10332950631458</v>
      </c>
      <c r="D142">
        <v>158.58000000000001</v>
      </c>
      <c r="E142">
        <v>39.96</v>
      </c>
      <c r="F142">
        <v>3.18</v>
      </c>
      <c r="G142">
        <v>127.2</v>
      </c>
      <c r="H142" s="6">
        <v>59.87</v>
      </c>
      <c r="I142" s="6">
        <f>Table1[[#This Row],[State]]*10</f>
        <v>10</v>
      </c>
      <c r="J142" s="1">
        <v>1</v>
      </c>
      <c r="K142">
        <v>186</v>
      </c>
      <c r="L142" s="3">
        <f t="shared" si="2"/>
        <v>80.211880438895193</v>
      </c>
    </row>
    <row r="143" spans="1:12" x14ac:dyDescent="0.25">
      <c r="A143" s="7">
        <v>142</v>
      </c>
      <c r="B143">
        <v>17.34</v>
      </c>
      <c r="C143" s="2">
        <f>Table1[[#This Row],[Ppv(W)]]/Table1[[#This Row],[Vpv(V)]]</f>
        <v>9.2670126874279131</v>
      </c>
      <c r="D143">
        <v>160.69</v>
      </c>
      <c r="E143">
        <v>39.96</v>
      </c>
      <c r="F143">
        <v>3.19</v>
      </c>
      <c r="G143">
        <v>127.62</v>
      </c>
      <c r="H143" s="6">
        <v>59.87</v>
      </c>
      <c r="I143" s="6">
        <f>Table1[[#This Row],[State]]*10</f>
        <v>10</v>
      </c>
      <c r="J143" s="1">
        <v>1</v>
      </c>
      <c r="K143">
        <v>186</v>
      </c>
      <c r="L143" s="3">
        <f t="shared" si="2"/>
        <v>79.420001244632516</v>
      </c>
    </row>
    <row r="144" spans="1:12" x14ac:dyDescent="0.25">
      <c r="A144" s="7">
        <v>143</v>
      </c>
      <c r="B144">
        <v>17.170000000000002</v>
      </c>
      <c r="C144" s="2">
        <f>Table1[[#This Row],[Ppv(W)]]/Table1[[#This Row],[Vpv(V)]]</f>
        <v>9.2929528246942326</v>
      </c>
      <c r="D144">
        <v>159.56</v>
      </c>
      <c r="E144">
        <v>39.96</v>
      </c>
      <c r="F144">
        <v>3.2</v>
      </c>
      <c r="G144">
        <v>127.73</v>
      </c>
      <c r="H144" s="6">
        <v>58.31</v>
      </c>
      <c r="I144" s="6">
        <f>Table1[[#This Row],[State]]*10</f>
        <v>20</v>
      </c>
      <c r="J144" s="1">
        <v>2</v>
      </c>
      <c r="K144">
        <v>186</v>
      </c>
      <c r="L144" s="3">
        <f t="shared" si="2"/>
        <v>80.051391326146899</v>
      </c>
    </row>
    <row r="145" spans="1:12" x14ac:dyDescent="0.25">
      <c r="A145" s="7">
        <v>144</v>
      </c>
      <c r="B145">
        <v>17.13</v>
      </c>
      <c r="C145" s="2">
        <f>Table1[[#This Row],[Ppv(W)]]/Table1[[#This Row],[Vpv(V)]]</f>
        <v>9.3210741389375364</v>
      </c>
      <c r="D145">
        <v>159.66999999999999</v>
      </c>
      <c r="E145">
        <v>39.96</v>
      </c>
      <c r="F145">
        <v>3.19</v>
      </c>
      <c r="G145">
        <v>127.41</v>
      </c>
      <c r="H145" s="6">
        <v>56.74</v>
      </c>
      <c r="I145" s="6">
        <f>Table1[[#This Row],[State]]*10</f>
        <v>0</v>
      </c>
      <c r="J145" s="1">
        <v>0</v>
      </c>
      <c r="K145">
        <v>186</v>
      </c>
      <c r="L145" s="3">
        <f t="shared" si="2"/>
        <v>79.795828897100279</v>
      </c>
    </row>
    <row r="146" spans="1:12" x14ac:dyDescent="0.25">
      <c r="A146" s="7">
        <v>145</v>
      </c>
      <c r="B146">
        <v>17.149999999999999</v>
      </c>
      <c r="C146" s="2">
        <f>Table1[[#This Row],[Ppv(W)]]/Table1[[#This Row],[Vpv(V)]]</f>
        <v>9.1988338192419832</v>
      </c>
      <c r="D146">
        <v>157.76</v>
      </c>
      <c r="E146">
        <v>39.96</v>
      </c>
      <c r="F146">
        <v>3.18</v>
      </c>
      <c r="G146">
        <v>127.09</v>
      </c>
      <c r="H146" s="6">
        <v>55.17</v>
      </c>
      <c r="I146" s="6">
        <f>Table1[[#This Row],[State]]*10</f>
        <v>20</v>
      </c>
      <c r="J146" s="1">
        <v>2</v>
      </c>
      <c r="K146">
        <v>186</v>
      </c>
      <c r="L146" s="3">
        <f t="shared" si="2"/>
        <v>80.55907707910751</v>
      </c>
    </row>
    <row r="147" spans="1:12" x14ac:dyDescent="0.25">
      <c r="A147" s="7">
        <v>146</v>
      </c>
      <c r="B147">
        <v>17.18</v>
      </c>
      <c r="C147" s="2">
        <f>Table1[[#This Row],[Ppv(W)]]/Table1[[#This Row],[Vpv(V)]]</f>
        <v>8.9516880093131537</v>
      </c>
      <c r="D147">
        <v>153.79</v>
      </c>
      <c r="E147">
        <v>39.96</v>
      </c>
      <c r="F147">
        <v>3.16</v>
      </c>
      <c r="G147">
        <v>126.35</v>
      </c>
      <c r="H147" s="6">
        <v>53.61</v>
      </c>
      <c r="I147" s="6">
        <f>Table1[[#This Row],[State]]*10</f>
        <v>20</v>
      </c>
      <c r="J147" s="1">
        <v>2</v>
      </c>
      <c r="K147">
        <v>186</v>
      </c>
      <c r="L147" s="3">
        <f t="shared" si="2"/>
        <v>82.157487482931273</v>
      </c>
    </row>
    <row r="148" spans="1:12" x14ac:dyDescent="0.25">
      <c r="A148" s="7">
        <v>147</v>
      </c>
      <c r="B148">
        <v>17.45</v>
      </c>
      <c r="C148" s="2">
        <f>Table1[[#This Row],[Ppv(W)]]/Table1[[#This Row],[Vpv(V)]]</f>
        <v>8.7713467048710605</v>
      </c>
      <c r="D148">
        <v>153.06</v>
      </c>
      <c r="E148">
        <v>39.96</v>
      </c>
      <c r="F148">
        <v>3.14</v>
      </c>
      <c r="G148">
        <v>125.62</v>
      </c>
      <c r="H148" s="6">
        <v>55.17</v>
      </c>
      <c r="I148" s="6">
        <f>Table1[[#This Row],[State]]*10</f>
        <v>20</v>
      </c>
      <c r="J148" s="1">
        <v>2</v>
      </c>
      <c r="K148">
        <v>186</v>
      </c>
      <c r="L148" s="3">
        <f t="shared" si="2"/>
        <v>82.072389912452635</v>
      </c>
    </row>
    <row r="149" spans="1:12" x14ac:dyDescent="0.25">
      <c r="A149" s="7">
        <v>148</v>
      </c>
      <c r="B149">
        <v>17.48</v>
      </c>
      <c r="C149" s="2">
        <f>Table1[[#This Row],[Ppv(W)]]/Table1[[#This Row],[Vpv(V)]]</f>
        <v>8.6435926773455378</v>
      </c>
      <c r="D149">
        <v>151.09</v>
      </c>
      <c r="E149">
        <v>39.96</v>
      </c>
      <c r="F149">
        <v>3.13</v>
      </c>
      <c r="G149">
        <v>125.19</v>
      </c>
      <c r="H149" s="6">
        <v>56.74</v>
      </c>
      <c r="I149" s="6">
        <f>Table1[[#This Row],[State]]*10</f>
        <v>20</v>
      </c>
      <c r="J149" s="1">
        <v>2</v>
      </c>
      <c r="K149">
        <v>186</v>
      </c>
      <c r="L149" s="3">
        <f t="shared" si="2"/>
        <v>82.857899265338546</v>
      </c>
    </row>
    <row r="150" spans="1:12" x14ac:dyDescent="0.25">
      <c r="A150" s="7">
        <v>149</v>
      </c>
      <c r="B150">
        <v>17.54</v>
      </c>
      <c r="C150" s="2">
        <f>Table1[[#This Row],[Ppv(W)]]/Table1[[#This Row],[Vpv(V)]]</f>
        <v>8.6801596351197272</v>
      </c>
      <c r="D150">
        <v>152.25</v>
      </c>
      <c r="E150">
        <v>39.96</v>
      </c>
      <c r="F150">
        <v>3.14</v>
      </c>
      <c r="G150">
        <v>125.3</v>
      </c>
      <c r="H150" s="6">
        <v>55.17</v>
      </c>
      <c r="I150" s="6">
        <f>Table1[[#This Row],[State]]*10</f>
        <v>30</v>
      </c>
      <c r="J150" s="1">
        <v>3</v>
      </c>
      <c r="K150">
        <v>186</v>
      </c>
      <c r="L150" s="3">
        <f t="shared" si="2"/>
        <v>82.298850574712645</v>
      </c>
    </row>
    <row r="151" spans="1:12" x14ac:dyDescent="0.25">
      <c r="A151" s="7">
        <v>150</v>
      </c>
      <c r="B151">
        <v>17.600000000000001</v>
      </c>
      <c r="C151" s="2">
        <f>Table1[[#This Row],[Ppv(W)]]/Table1[[#This Row],[Vpv(V)]]</f>
        <v>8.6482954545454547</v>
      </c>
      <c r="D151">
        <v>152.21</v>
      </c>
      <c r="E151">
        <v>39.96</v>
      </c>
      <c r="F151">
        <v>3.13</v>
      </c>
      <c r="G151">
        <v>125.19</v>
      </c>
      <c r="H151" s="6">
        <v>53.61</v>
      </c>
      <c r="I151" s="6">
        <f>Table1[[#This Row],[State]]*10</f>
        <v>0</v>
      </c>
      <c r="J151" s="1">
        <v>0</v>
      </c>
      <c r="K151">
        <v>176</v>
      </c>
      <c r="L151" s="3">
        <f t="shared" si="2"/>
        <v>82.248209710268711</v>
      </c>
    </row>
    <row r="152" spans="1:12" x14ac:dyDescent="0.25">
      <c r="A152" s="7">
        <v>151</v>
      </c>
      <c r="B152">
        <v>17.600000000000001</v>
      </c>
      <c r="C152" s="2">
        <f>Table1[[#This Row],[Ppv(W)]]/Table1[[#This Row],[Vpv(V)]]</f>
        <v>8.526136363636363</v>
      </c>
      <c r="D152">
        <v>150.06</v>
      </c>
      <c r="E152">
        <v>39.96</v>
      </c>
      <c r="F152">
        <v>3.13</v>
      </c>
      <c r="G152">
        <v>125.09</v>
      </c>
      <c r="H152" s="6">
        <v>52.04</v>
      </c>
      <c r="I152" s="6">
        <f>Table1[[#This Row],[State]]*10</f>
        <v>20</v>
      </c>
      <c r="J152" s="1">
        <v>2</v>
      </c>
      <c r="K152">
        <v>176</v>
      </c>
      <c r="L152" s="3">
        <f t="shared" si="2"/>
        <v>83.359989337598293</v>
      </c>
    </row>
    <row r="153" spans="1:12" x14ac:dyDescent="0.25">
      <c r="A153" s="7">
        <v>152</v>
      </c>
      <c r="B153">
        <v>17.649999999999999</v>
      </c>
      <c r="C153" s="2">
        <f>Table1[[#This Row],[Ppv(W)]]/Table1[[#This Row],[Vpv(V)]]</f>
        <v>8.4589235127478766</v>
      </c>
      <c r="D153">
        <v>149.30000000000001</v>
      </c>
      <c r="E153">
        <v>39.96</v>
      </c>
      <c r="F153">
        <v>3.12</v>
      </c>
      <c r="G153">
        <v>124.77</v>
      </c>
      <c r="H153" s="6">
        <v>50.47</v>
      </c>
      <c r="I153" s="6">
        <f>Table1[[#This Row],[State]]*10</f>
        <v>20</v>
      </c>
      <c r="J153" s="1">
        <v>2</v>
      </c>
      <c r="K153">
        <v>176</v>
      </c>
      <c r="L153" s="3">
        <f t="shared" si="2"/>
        <v>83.569993302076355</v>
      </c>
    </row>
    <row r="154" spans="1:12" x14ac:dyDescent="0.25">
      <c r="A154" s="7">
        <v>153</v>
      </c>
      <c r="B154">
        <v>17.79</v>
      </c>
      <c r="C154" s="2">
        <f>Table1[[#This Row],[Ppv(W)]]/Table1[[#This Row],[Vpv(V)]]</f>
        <v>8.1214165261382796</v>
      </c>
      <c r="D154">
        <v>144.47999999999999</v>
      </c>
      <c r="E154">
        <v>39.96</v>
      </c>
      <c r="F154">
        <v>3.09</v>
      </c>
      <c r="G154">
        <v>123.3</v>
      </c>
      <c r="H154" s="6">
        <v>52.04</v>
      </c>
      <c r="I154" s="6">
        <f>Table1[[#This Row],[State]]*10</f>
        <v>20</v>
      </c>
      <c r="J154" s="1">
        <v>2</v>
      </c>
      <c r="K154">
        <v>176</v>
      </c>
      <c r="L154" s="3">
        <f t="shared" si="2"/>
        <v>85.340531561461802</v>
      </c>
    </row>
    <row r="155" spans="1:12" x14ac:dyDescent="0.25">
      <c r="A155" s="7">
        <v>154</v>
      </c>
      <c r="B155">
        <v>17.88</v>
      </c>
      <c r="C155" s="2">
        <f>Table1[[#This Row],[Ppv(W)]]/Table1[[#This Row],[Vpv(V)]]</f>
        <v>8.0794183445190164</v>
      </c>
      <c r="D155">
        <v>144.46</v>
      </c>
      <c r="E155">
        <v>39.96</v>
      </c>
      <c r="F155">
        <v>3.08</v>
      </c>
      <c r="G155">
        <v>122.98</v>
      </c>
      <c r="H155" s="6">
        <v>53.61</v>
      </c>
      <c r="I155" s="6">
        <f>Table1[[#This Row],[State]]*10</f>
        <v>0</v>
      </c>
      <c r="J155" s="1">
        <v>0</v>
      </c>
      <c r="K155">
        <v>166</v>
      </c>
      <c r="L155" s="3">
        <f t="shared" si="2"/>
        <v>85.130832064239243</v>
      </c>
    </row>
    <row r="156" spans="1:12" x14ac:dyDescent="0.25">
      <c r="A156" s="7">
        <v>155</v>
      </c>
      <c r="B156">
        <v>17.86</v>
      </c>
      <c r="C156" s="2">
        <f>Table1[[#This Row],[Ppv(W)]]/Table1[[#This Row],[Vpv(V)]]</f>
        <v>8.0397536394176932</v>
      </c>
      <c r="D156">
        <v>143.59</v>
      </c>
      <c r="E156">
        <v>39.96</v>
      </c>
      <c r="F156">
        <v>3.07</v>
      </c>
      <c r="G156">
        <v>122.87</v>
      </c>
      <c r="H156" s="6">
        <v>55.17</v>
      </c>
      <c r="I156" s="6">
        <f>Table1[[#This Row],[State]]*10</f>
        <v>20</v>
      </c>
      <c r="J156" s="1">
        <v>2</v>
      </c>
      <c r="K156">
        <v>166</v>
      </c>
      <c r="L156" s="3">
        <f t="shared" si="2"/>
        <v>85.570025767811131</v>
      </c>
    </row>
    <row r="157" spans="1:12" x14ac:dyDescent="0.25">
      <c r="A157" s="7">
        <v>156</v>
      </c>
      <c r="B157">
        <v>17.82</v>
      </c>
      <c r="C157" s="2">
        <f>Table1[[#This Row],[Ppv(W)]]/Table1[[#This Row],[Vpv(V)]]</f>
        <v>8.0594837261503933</v>
      </c>
      <c r="D157">
        <v>143.62</v>
      </c>
      <c r="E157">
        <v>39.96</v>
      </c>
      <c r="F157">
        <v>3.09</v>
      </c>
      <c r="G157">
        <v>123.3</v>
      </c>
      <c r="H157" s="6">
        <v>56.74</v>
      </c>
      <c r="I157" s="6">
        <f>Table1[[#This Row],[State]]*10</f>
        <v>0</v>
      </c>
      <c r="J157" s="1">
        <v>0</v>
      </c>
      <c r="K157">
        <v>176</v>
      </c>
      <c r="L157" s="3">
        <f t="shared" si="2"/>
        <v>85.851552708536417</v>
      </c>
    </row>
    <row r="158" spans="1:12" x14ac:dyDescent="0.25">
      <c r="A158" s="7">
        <v>157</v>
      </c>
      <c r="B158">
        <v>17.68</v>
      </c>
      <c r="C158" s="2">
        <f>Table1[[#This Row],[Ppv(W)]]/Table1[[#This Row],[Vpv(V)]]</f>
        <v>8.2958144796380093</v>
      </c>
      <c r="D158">
        <v>146.66999999999999</v>
      </c>
      <c r="E158">
        <v>39.96</v>
      </c>
      <c r="F158">
        <v>3.11</v>
      </c>
      <c r="G158">
        <v>124.25</v>
      </c>
      <c r="H158" s="6">
        <v>58.31</v>
      </c>
      <c r="I158" s="6">
        <f>Table1[[#This Row],[State]]*10</f>
        <v>10</v>
      </c>
      <c r="J158" s="1">
        <v>1</v>
      </c>
      <c r="K158">
        <v>176</v>
      </c>
      <c r="L158" s="3">
        <f t="shared" si="2"/>
        <v>84.713983773096075</v>
      </c>
    </row>
    <row r="159" spans="1:12" x14ac:dyDescent="0.25">
      <c r="A159" s="7">
        <v>158</v>
      </c>
      <c r="B159">
        <v>17.5</v>
      </c>
      <c r="C159" s="2">
        <f>Table1[[#This Row],[Ppv(W)]]/Table1[[#This Row],[Vpv(V)]]</f>
        <v>8.588571428571429</v>
      </c>
      <c r="D159">
        <v>150.30000000000001</v>
      </c>
      <c r="E159">
        <v>39.96</v>
      </c>
      <c r="F159">
        <v>3.14</v>
      </c>
      <c r="G159">
        <v>125.3</v>
      </c>
      <c r="H159" s="6">
        <v>59.87</v>
      </c>
      <c r="I159" s="6">
        <f>Table1[[#This Row],[State]]*10</f>
        <v>10</v>
      </c>
      <c r="J159" s="1">
        <v>1</v>
      </c>
      <c r="K159">
        <v>176</v>
      </c>
      <c r="L159" s="3">
        <f t="shared" si="2"/>
        <v>83.366600133067195</v>
      </c>
    </row>
    <row r="160" spans="1:12" x14ac:dyDescent="0.25">
      <c r="A160" s="7">
        <v>159</v>
      </c>
      <c r="B160">
        <v>17.45</v>
      </c>
      <c r="C160" s="2">
        <f>Table1[[#This Row],[Ppv(W)]]/Table1[[#This Row],[Vpv(V)]]</f>
        <v>8.808022922636102</v>
      </c>
      <c r="D160">
        <v>153.69999999999999</v>
      </c>
      <c r="E160">
        <v>39.96</v>
      </c>
      <c r="F160">
        <v>3.16</v>
      </c>
      <c r="G160">
        <v>126.14</v>
      </c>
      <c r="H160" s="6">
        <v>59.87</v>
      </c>
      <c r="I160" s="6">
        <f>Table1[[#This Row],[State]]*10</f>
        <v>10</v>
      </c>
      <c r="J160" s="1">
        <v>1</v>
      </c>
      <c r="K160">
        <v>176</v>
      </c>
      <c r="L160" s="3">
        <f t="shared" si="2"/>
        <v>82.068965517241395</v>
      </c>
    </row>
    <row r="161" spans="1:12" x14ac:dyDescent="0.25">
      <c r="A161" s="7">
        <v>160</v>
      </c>
      <c r="B161">
        <v>17.39</v>
      </c>
      <c r="C161" s="2">
        <f>Table1[[#This Row],[Ppv(W)]]/Table1[[#This Row],[Vpv(V)]]</f>
        <v>9.0529039677975849</v>
      </c>
      <c r="D161">
        <v>157.43</v>
      </c>
      <c r="E161">
        <v>39.96</v>
      </c>
      <c r="F161">
        <v>3.18</v>
      </c>
      <c r="G161">
        <v>127.09</v>
      </c>
      <c r="H161" s="6">
        <v>59.87</v>
      </c>
      <c r="I161" s="6">
        <f>Table1[[#This Row],[State]]*10</f>
        <v>10</v>
      </c>
      <c r="J161" s="1">
        <v>1</v>
      </c>
      <c r="K161">
        <v>176</v>
      </c>
      <c r="L161" s="3">
        <f t="shared" si="2"/>
        <v>80.72794257765355</v>
      </c>
    </row>
    <row r="162" spans="1:12" x14ac:dyDescent="0.25">
      <c r="A162" s="7">
        <v>161</v>
      </c>
      <c r="B162">
        <v>17.3</v>
      </c>
      <c r="C162" s="2">
        <f>Table1[[#This Row],[Ppv(W)]]/Table1[[#This Row],[Vpv(V)]]</f>
        <v>9.0664739884393057</v>
      </c>
      <c r="D162">
        <v>156.85</v>
      </c>
      <c r="E162">
        <v>39.96</v>
      </c>
      <c r="F162">
        <v>3.19</v>
      </c>
      <c r="G162">
        <v>127.41</v>
      </c>
      <c r="H162" s="6">
        <v>58.31</v>
      </c>
      <c r="I162" s="6">
        <f>Table1[[#This Row],[State]]*10</f>
        <v>20</v>
      </c>
      <c r="J162" s="1">
        <v>2</v>
      </c>
      <c r="K162">
        <v>176</v>
      </c>
      <c r="L162" s="3">
        <f t="shared" si="2"/>
        <v>81.230474976091799</v>
      </c>
    </row>
    <row r="163" spans="1:12" x14ac:dyDescent="0.25">
      <c r="A163" s="7">
        <v>162</v>
      </c>
      <c r="B163">
        <v>17.27</v>
      </c>
      <c r="C163" s="2">
        <f>Table1[[#This Row],[Ppv(W)]]/Table1[[#This Row],[Vpv(V)]]</f>
        <v>9.0735379270411105</v>
      </c>
      <c r="D163">
        <v>156.69999999999999</v>
      </c>
      <c r="E163">
        <v>39.96</v>
      </c>
      <c r="F163">
        <v>3.19</v>
      </c>
      <c r="G163">
        <v>127.41</v>
      </c>
      <c r="H163" s="6">
        <v>56.74</v>
      </c>
      <c r="I163" s="6">
        <f>Table1[[#This Row],[State]]*10</f>
        <v>0</v>
      </c>
      <c r="J163" s="1">
        <v>0</v>
      </c>
      <c r="K163">
        <v>186</v>
      </c>
      <c r="L163" s="3">
        <f t="shared" si="2"/>
        <v>81.308232291001914</v>
      </c>
    </row>
    <row r="164" spans="1:12" x14ac:dyDescent="0.25">
      <c r="A164" s="7">
        <v>163</v>
      </c>
      <c r="B164">
        <v>17.27</v>
      </c>
      <c r="C164" s="2">
        <f>Table1[[#This Row],[Ppv(W)]]/Table1[[#This Row],[Vpv(V)]]</f>
        <v>9.0416907932831503</v>
      </c>
      <c r="D164">
        <v>156.15</v>
      </c>
      <c r="E164">
        <v>39.96</v>
      </c>
      <c r="F164">
        <v>3.18</v>
      </c>
      <c r="G164">
        <v>126.99</v>
      </c>
      <c r="H164" s="6">
        <v>55.17</v>
      </c>
      <c r="I164" s="6">
        <f>Table1[[#This Row],[State]]*10</f>
        <v>20</v>
      </c>
      <c r="J164" s="1">
        <v>2</v>
      </c>
      <c r="K164">
        <v>186</v>
      </c>
      <c r="L164" s="3">
        <f t="shared" si="2"/>
        <v>81.325648414985579</v>
      </c>
    </row>
    <row r="165" spans="1:12" x14ac:dyDescent="0.25">
      <c r="A165" s="7">
        <v>164</v>
      </c>
      <c r="B165">
        <v>17.36</v>
      </c>
      <c r="C165" s="2">
        <f>Table1[[#This Row],[Ppv(W)]]/Table1[[#This Row],[Vpv(V)]]</f>
        <v>8.8842165898617509</v>
      </c>
      <c r="D165">
        <v>154.22999999999999</v>
      </c>
      <c r="E165">
        <v>39.96</v>
      </c>
      <c r="F165">
        <v>3.16</v>
      </c>
      <c r="G165">
        <v>126.46</v>
      </c>
      <c r="H165" s="6">
        <v>56.74</v>
      </c>
      <c r="I165" s="6">
        <f>Table1[[#This Row],[State]]*10</f>
        <v>20</v>
      </c>
      <c r="J165" s="1">
        <v>2</v>
      </c>
      <c r="K165">
        <v>186</v>
      </c>
      <c r="L165" s="3">
        <f t="shared" si="2"/>
        <v>81.994423912338718</v>
      </c>
    </row>
    <row r="166" spans="1:12" x14ac:dyDescent="0.25">
      <c r="A166" s="7">
        <v>165</v>
      </c>
      <c r="B166">
        <v>17.5</v>
      </c>
      <c r="C166" s="2">
        <f>Table1[[#This Row],[Ppv(W)]]/Table1[[#This Row],[Vpv(V)]]</f>
        <v>8.7685714285714287</v>
      </c>
      <c r="D166">
        <v>153.44999999999999</v>
      </c>
      <c r="E166">
        <v>39.96</v>
      </c>
      <c r="F166">
        <v>3.15</v>
      </c>
      <c r="G166">
        <v>125.93</v>
      </c>
      <c r="H166" s="6">
        <v>58.31</v>
      </c>
      <c r="I166" s="6">
        <f>Table1[[#This Row],[State]]*10</f>
        <v>20</v>
      </c>
      <c r="J166" s="1">
        <v>2</v>
      </c>
      <c r="K166">
        <v>186</v>
      </c>
      <c r="L166" s="3">
        <f t="shared" si="2"/>
        <v>82.06581948517433</v>
      </c>
    </row>
    <row r="167" spans="1:12" x14ac:dyDescent="0.25">
      <c r="A167" s="7">
        <v>166</v>
      </c>
      <c r="B167">
        <v>17.55</v>
      </c>
      <c r="C167" s="2">
        <f>Table1[[#This Row],[Ppv(W)]]/Table1[[#This Row],[Vpv(V)]]</f>
        <v>8.7475783475783473</v>
      </c>
      <c r="D167">
        <v>153.52000000000001</v>
      </c>
      <c r="E167">
        <v>39.96</v>
      </c>
      <c r="F167">
        <v>3.15</v>
      </c>
      <c r="G167">
        <v>125.93</v>
      </c>
      <c r="H167" s="6">
        <v>59.87</v>
      </c>
      <c r="I167" s="6">
        <f>Table1[[#This Row],[State]]*10</f>
        <v>0</v>
      </c>
      <c r="J167" s="1">
        <v>0</v>
      </c>
      <c r="K167">
        <v>186</v>
      </c>
      <c r="L167" s="3">
        <f t="shared" si="2"/>
        <v>82.028400208441894</v>
      </c>
    </row>
    <row r="168" spans="1:12" x14ac:dyDescent="0.25">
      <c r="A168" s="7">
        <v>167</v>
      </c>
      <c r="B168">
        <v>17.5</v>
      </c>
      <c r="C168" s="2">
        <f>Table1[[#This Row],[Ppv(W)]]/Table1[[#This Row],[Vpv(V)]]</f>
        <v>8.7834285714285727</v>
      </c>
      <c r="D168">
        <v>153.71</v>
      </c>
      <c r="E168">
        <v>39.96</v>
      </c>
      <c r="F168">
        <v>3.16</v>
      </c>
      <c r="G168">
        <v>126.35</v>
      </c>
      <c r="H168" s="6">
        <v>59.87</v>
      </c>
      <c r="I168" s="6">
        <f>Table1[[#This Row],[State]]*10</f>
        <v>0</v>
      </c>
      <c r="J168" s="1">
        <v>0</v>
      </c>
      <c r="K168">
        <v>191</v>
      </c>
      <c r="L168" s="3">
        <f t="shared" si="2"/>
        <v>82.200247218788618</v>
      </c>
    </row>
    <row r="169" spans="1:12" x14ac:dyDescent="0.25">
      <c r="A169" s="7">
        <v>168</v>
      </c>
      <c r="B169">
        <v>17.399999999999999</v>
      </c>
      <c r="C169" s="2">
        <f>Table1[[#This Row],[Ppv(W)]]/Table1[[#This Row],[Vpv(V)]]</f>
        <v>8.9977011494252874</v>
      </c>
      <c r="D169">
        <v>156.56</v>
      </c>
      <c r="E169">
        <v>39.96</v>
      </c>
      <c r="F169">
        <v>3.18</v>
      </c>
      <c r="G169">
        <v>126.88</v>
      </c>
      <c r="H169" s="6">
        <v>59.87</v>
      </c>
      <c r="I169" s="6">
        <f>Table1[[#This Row],[State]]*10</f>
        <v>10</v>
      </c>
      <c r="J169" s="1">
        <v>1</v>
      </c>
      <c r="K169">
        <v>191</v>
      </c>
      <c r="L169" s="3">
        <f t="shared" si="2"/>
        <v>81.042411854879916</v>
      </c>
    </row>
    <row r="170" spans="1:12" x14ac:dyDescent="0.25">
      <c r="A170" s="7">
        <v>169</v>
      </c>
      <c r="B170">
        <v>17.350000000000001</v>
      </c>
      <c r="C170" s="2">
        <f>Table1[[#This Row],[Ppv(W)]]/Table1[[#This Row],[Vpv(V)]]</f>
        <v>9.0962536023054739</v>
      </c>
      <c r="D170">
        <v>157.82</v>
      </c>
      <c r="E170">
        <v>39.96</v>
      </c>
      <c r="F170">
        <v>3.18</v>
      </c>
      <c r="G170">
        <v>127.2</v>
      </c>
      <c r="H170" s="6">
        <v>59.87</v>
      </c>
      <c r="I170" s="6">
        <f>Table1[[#This Row],[State]]*10</f>
        <v>10</v>
      </c>
      <c r="J170" s="1">
        <v>1</v>
      </c>
      <c r="K170">
        <v>191</v>
      </c>
      <c r="L170" s="3">
        <f t="shared" si="2"/>
        <v>80.598149790901033</v>
      </c>
    </row>
    <row r="171" spans="1:12" x14ac:dyDescent="0.25">
      <c r="A171" s="7">
        <v>170</v>
      </c>
      <c r="B171">
        <v>17.3</v>
      </c>
      <c r="C171" s="2">
        <f>Table1[[#This Row],[Ppv(W)]]/Table1[[#This Row],[Vpv(V)]]</f>
        <v>9.3300578034682076</v>
      </c>
      <c r="D171">
        <v>161.41</v>
      </c>
      <c r="E171">
        <v>39.96</v>
      </c>
      <c r="F171">
        <v>3.19</v>
      </c>
      <c r="G171">
        <v>127.62</v>
      </c>
      <c r="H171" s="6">
        <v>58.31</v>
      </c>
      <c r="I171" s="6">
        <f>Table1[[#This Row],[State]]*10</f>
        <v>10</v>
      </c>
      <c r="J171" s="1">
        <v>1</v>
      </c>
      <c r="K171">
        <v>191</v>
      </c>
      <c r="L171" s="3">
        <f t="shared" si="2"/>
        <v>79.06573322594636</v>
      </c>
    </row>
    <row r="172" spans="1:12" x14ac:dyDescent="0.25">
      <c r="A172" s="7">
        <v>171</v>
      </c>
      <c r="B172">
        <v>17.34</v>
      </c>
      <c r="C172" s="2">
        <f>Table1[[#This Row],[Ppv(W)]]/Table1[[#This Row],[Vpv(V)]]</f>
        <v>9.3160322952710484</v>
      </c>
      <c r="D172">
        <v>161.54</v>
      </c>
      <c r="E172">
        <v>39.96</v>
      </c>
      <c r="F172">
        <v>3.19</v>
      </c>
      <c r="G172">
        <v>127.41</v>
      </c>
      <c r="H172" s="6">
        <v>56.74</v>
      </c>
      <c r="I172" s="6">
        <f>Table1[[#This Row],[State]]*10</f>
        <v>0</v>
      </c>
      <c r="J172" s="1">
        <v>0</v>
      </c>
      <c r="K172">
        <v>186</v>
      </c>
      <c r="L172" s="3">
        <f t="shared" si="2"/>
        <v>78.872105979943058</v>
      </c>
    </row>
    <row r="173" spans="1:12" x14ac:dyDescent="0.25">
      <c r="A173" s="7">
        <v>172</v>
      </c>
      <c r="B173">
        <v>17.399999999999999</v>
      </c>
      <c r="C173" s="2">
        <f>Table1[[#This Row],[Ppv(W)]]/Table1[[#This Row],[Vpv(V)]]</f>
        <v>9.1471264367816101</v>
      </c>
      <c r="D173">
        <v>159.16</v>
      </c>
      <c r="E173">
        <v>39.96</v>
      </c>
      <c r="F173">
        <v>3.18</v>
      </c>
      <c r="G173">
        <v>126.88</v>
      </c>
      <c r="H173" s="6">
        <v>58.31</v>
      </c>
      <c r="I173" s="6">
        <f>Table1[[#This Row],[State]]*10</f>
        <v>20</v>
      </c>
      <c r="J173" s="1">
        <v>2</v>
      </c>
      <c r="K173">
        <v>186</v>
      </c>
      <c r="L173" s="3">
        <f t="shared" si="2"/>
        <v>79.718522241769278</v>
      </c>
    </row>
    <row r="174" spans="1:12" x14ac:dyDescent="0.25">
      <c r="A174" s="7">
        <v>173</v>
      </c>
      <c r="B174">
        <v>17.36</v>
      </c>
      <c r="C174" s="2">
        <f>Table1[[#This Row],[Ppv(W)]]/Table1[[#This Row],[Vpv(V)]]</f>
        <v>9.1342165898617509</v>
      </c>
      <c r="D174">
        <v>158.57</v>
      </c>
      <c r="E174">
        <v>39.96</v>
      </c>
      <c r="F174">
        <v>3.17</v>
      </c>
      <c r="G174">
        <v>126.67</v>
      </c>
      <c r="H174" s="6">
        <v>59.87</v>
      </c>
      <c r="I174" s="6">
        <f>Table1[[#This Row],[State]]*10</f>
        <v>20</v>
      </c>
      <c r="J174" s="1">
        <v>2</v>
      </c>
      <c r="K174">
        <v>186</v>
      </c>
      <c r="L174" s="3">
        <f t="shared" si="2"/>
        <v>79.882701645960779</v>
      </c>
    </row>
    <row r="175" spans="1:12" x14ac:dyDescent="0.25">
      <c r="A175" s="7">
        <v>174</v>
      </c>
      <c r="B175">
        <v>17.350000000000001</v>
      </c>
      <c r="C175" s="2">
        <f>Table1[[#This Row],[Ppv(W)]]/Table1[[#This Row],[Vpv(V)]]</f>
        <v>9.0351585014409217</v>
      </c>
      <c r="D175">
        <v>156.76</v>
      </c>
      <c r="E175">
        <v>39.96</v>
      </c>
      <c r="F175">
        <v>3.17</v>
      </c>
      <c r="G175">
        <v>126.67</v>
      </c>
      <c r="H175" s="6">
        <v>59.87</v>
      </c>
      <c r="I175" s="6">
        <f>Table1[[#This Row],[State]]*10</f>
        <v>20</v>
      </c>
      <c r="J175" s="1">
        <v>2</v>
      </c>
      <c r="K175">
        <v>186</v>
      </c>
      <c r="L175" s="3">
        <f t="shared" si="2"/>
        <v>80.805052309262564</v>
      </c>
    </row>
  </sheetData>
  <conditionalFormatting sqref="H2:I175">
    <cfRule type="dataBar" priority="1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{17C7A25D-715B-4F54-A4B7-67E82FC2F3A5}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{B3ECB79E-A2F6-42DB-8789-869C0DEAE9CB}</x14:id>
        </ext>
      </extLst>
    </cfRule>
  </conditionalFormatting>
  <conditionalFormatting sqref="J2:J17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{4B1A03A7-39B8-4DAC-A672-C7854AACA9BB}</x14:id>
        </ext>
      </extLst>
    </cfRule>
  </conditionalFormatting>
  <conditionalFormatting sqref="K2:K175">
    <cfRule type="iconSet" priority="3">
      <iconSet iconSet="3TrafficLights2">
        <cfvo type="percent" val="0"/>
        <cfvo type="percent" val="33"/>
        <cfvo type="percent" val="67"/>
      </iconSet>
    </cfRule>
    <cfRule type="cellIs" dxfId="2" priority="8" operator="greaterThan">
      <formula>0</formula>
    </cfRule>
  </conditionalFormatting>
  <conditionalFormatting sqref="L2:L17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7A25D-715B-4F54-A4B7-67E82FC2F3A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B3ECB79E-A2F6-42DB-8789-869C0DEAE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H2:I175</xm:sqref>
        </x14:conditionalFormatting>
        <x14:conditionalFormatting xmlns:xm="http://schemas.microsoft.com/office/excel/2006/main">
          <x14:cfRule type="dataBar" id="{4B1A03A7-39B8-4DAC-A672-C7854AACA9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Codreanu</cp:lastModifiedBy>
  <dcterms:created xsi:type="dcterms:W3CDTF">2026-04-24T18:56:05Z</dcterms:created>
  <dcterms:modified xsi:type="dcterms:W3CDTF">2026-04-25T10:32:09Z</dcterms:modified>
</cp:coreProperties>
</file>